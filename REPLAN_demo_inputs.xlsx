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9ae01b8a2046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용안내" sheetId="1" r:id="Rcfe2e740a4544c06"/>
    <x:sheet xmlns:r="http://schemas.openxmlformats.org/officeDocument/2006/relationships" name="프로젝트" sheetId="2" r:id="R02efde3712bc42a3"/>
    <x:sheet xmlns:r="http://schemas.openxmlformats.org/officeDocument/2006/relationships" name="일정표" sheetId="3" r:id="R5000ef56304d48fa"/>
    <x:sheet xmlns:r="http://schemas.openxmlformats.org/officeDocument/2006/relationships" name="작업조건" sheetId="4" r:id="Rb11522c0df204ed8"/>
    <x:sheet xmlns:r="http://schemas.openxmlformats.org/officeDocument/2006/relationships" name="캘린더" sheetId="5" r:id="R41e5a676e9634cf1"/>
    <x:sheet xmlns:r="http://schemas.openxmlformats.org/officeDocument/2006/relationships" name="대응옵션" sheetId="6" r:id="R988573435437415b"/>
    <x:sheet xmlns:r="http://schemas.openxmlformats.org/officeDocument/2006/relationships" name="변경이벤트" sheetId="7" r:id="Ree6b99fbd6a94e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&quot; 원&quot;"/>
    <x:numFmt numFmtId="202" formatCode="0%"/>
    <x:numFmt numFmtId="203" formatCode="m/d&quot; 주&quot;"/>
  </x:numFmts>
  <x:fonts count="6">
    <x:font>
      <x:sz val="11"/>
      <x:name val="Carlito"/>
    </x:font>
    <x:font>
      <x:sz val="10"/>
      <x:name val="Carlito"/>
    </x:font>
    <x:font>
      <x:b/>
      <x:sz val="18"/>
      <x:color rgb="FFFFFFFF"/>
      <x:name val="Carlito"/>
    </x:font>
    <x:font>
      <x:sz val="10"/>
      <x:color rgb="FF17324D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4F5"/>
      </x:patternFill>
    </x:fill>
    <x:fill>
      <x:patternFill patternType="solid">
        <x:fgColor rgb="FF087F8C"/>
      </x:patternFill>
    </x:fill>
    <x:fill>
      <x:patternFill patternType="solid">
        <x:fgColor rgb="FFF3F5F7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200" fontId="1" fillId="5" borderId="1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202" fontId="1" fillId="5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2" fontId="1" fillId="5" borderId="1" xfId="0" applyNumberFormat="1" applyFont="1" applyFill="1" applyBorder="1" applyAlignment="1">
      <x:alignment vertical="center" wrapText="1"/>
    </x:xf>
    <x:xf numFmtId="202" fontId="1" fillId="0" borderId="1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3" fontId="0" fillId="2" borderId="0" xfId="0" applyNumberFormat="1" applyFont="1" applyFill="1" applyBorder="1"/>
    <x:xf numFmtId="203" fontId="5" fillId="2" borderId="0" xfId="0" applyNumberFormat="1" applyFont="1" applyFill="1" applyBorder="1"/>
    <x:xf numFmtId="203" fontId="0" fillId="2" borderId="1" xfId="0" applyNumberFormat="1" applyFont="1" applyFill="1" applyBorder="1"/>
    <x:xf numFmtId="203" fontId="5" fillId="2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/>
    <x:xf numFmtId="200" fontId="1" fillId="0" borderId="1" xfId="0" applyNumberFormat="1" applyFont="1" applyFill="1" applyBorder="1"/>
    <x:xf numFmtId="201" fontId="1" fillId="5" borderId="0" xfId="0" applyNumberFormat="1" applyFont="1" applyFill="1" applyBorder="1" applyAlignment="1">
      <x:alignment vertical="center" wrapText="1"/>
    </x:xf>
    <x:xf numFmtId="201" fontId="1" fillId="5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087F8C"/>
      </x:font>
      <x:fill>
        <x:patternFill patternType="solid">
          <x:bgColor rgb="FFEAF4F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d8da850f35475e" /><Relationship Type="http://schemas.openxmlformats.org/officeDocument/2006/relationships/theme" Target="/xl/theme/theme1.xml" Id="Rb9418c26c1744bbc" /><Relationship Type="http://schemas.openxmlformats.org/officeDocument/2006/relationships/sharedStrings" Target="/xl/sharedStrings.xml" Id="R36d367975ae54b34" /><Relationship Type="http://schemas.openxmlformats.org/officeDocument/2006/relationships/worksheet" Target="/xl/worksheets/sheet1.xml" Id="Rcfe2e740a4544c06" /><Relationship Type="http://schemas.openxmlformats.org/officeDocument/2006/relationships/worksheet" Target="/xl/worksheets/sheet2.xml" Id="R02efde3712bc42a3" /><Relationship Type="http://schemas.openxmlformats.org/officeDocument/2006/relationships/worksheet" Target="/xl/worksheets/sheet3.xml" Id="R5000ef56304d48fa" /><Relationship Type="http://schemas.openxmlformats.org/officeDocument/2006/relationships/worksheet" Target="/xl/worksheets/sheet4.xml" Id="Rb11522c0df204ed8" /><Relationship Type="http://schemas.openxmlformats.org/officeDocument/2006/relationships/worksheet" Target="/xl/worksheets/sheet5.xml" Id="R41e5a676e9634cf1" /><Relationship Type="http://schemas.openxmlformats.org/officeDocument/2006/relationships/worksheet" Target="/xl/worksheets/sheet6.xml" Id="R988573435437415b" /><Relationship Type="http://schemas.openxmlformats.org/officeDocument/2006/relationships/worksheet" Target="/xl/worksheets/sheet7.xml" Id="Ree6b99fbd6a94e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84" hidden="0" customWidth="1"/>
  </x:cols>
  <x:sheetData>
    <x:row r="1" ht="24" customHeight="1">
      <x:c r="A1" s="6" t="str">
        <x:v>RE:PLAN  |  DEMO INPUT KIT</x:v>
      </x:c>
      <x:c r="B1" s="6"/>
      <x:c r="C1" s="6"/>
    </x:row>
    <x:row r="2" ht="24" customHeight="1">
      <x:c r="A2" s="6"/>
      <x:c r="B2" s="6"/>
      <x:c r="C2" s="6"/>
    </x:row>
    <x:row r="3" ht="20" customHeight="1">
      <x:c r="A3" s="13" t="str">
        <x:v>SYNTHETIC / REPLAY ONLY · 엑셀 업로드와 변경 대응을 시험하기 위한 출발 자료</x:v>
      </x:c>
      <x:c r="B3" s="13"/>
      <x:c r="C3" s="13"/>
    </x:row>
    <x:row r="4" ht="20" customHeight="1">
      <x:c r="A4" s="13"/>
      <x:c r="B4" s="13"/>
      <x:c r="C4" s="13"/>
    </x:row>
    <x:row r="5">
      <x:c r="A5" s="2"/>
      <x:c r="B5" s="2"/>
      <x:c r="C5" s="2"/>
    </x:row>
    <x:row r="6">
      <x:c r="A6" s="2"/>
      <x:c r="B6" s="2"/>
      <x:c r="C6" s="2"/>
    </x:row>
    <x:row r="7" ht="32" customHeight="1">
      <x:c r="A7" s="21" t="str">
        <x:v>항목</x:v>
      </x:c>
      <x:c r="B7" s="21" t="str">
        <x:v>설정</x:v>
      </x:c>
      <x:c r="C7" s="21" t="str">
        <x:v>설명</x:v>
      </x:c>
    </x:row>
    <x:row r="8" ht="40" customHeight="1">
      <x:c r="A8" s="30" t="str">
        <x:v>성격</x:v>
      </x:c>
      <x:c r="B8" s="30" t="str">
        <x:v>전부 가상인 데모 입력</x:v>
      </x:c>
      <x:c r="C8" s="30" t="str">
        <x:v>회사·금액·일정·업무 메시지는 모두 합성 데이터. 실제 기업의 비공개 자료는 사용하지 않음.</x:v>
      </x:c>
    </x:row>
    <x:row r="9" ht="40" customHeight="1">
      <x:c r="A9" s="28" t="str">
        <x:v>시연 범위</x:v>
      </x:c>
      <x:c r="B9" s="28" t="str">
        <x:v>전체 공장 건설이 아닌 일부 설비 도입</x:v>
      </x:c>
      <x:c r="C9" s="28" t="str">
        <x:v>제작 → 운송 → 설치 → 시운전의 20개 작업. 실제 공사의 기간·안전기준·가격을 대표하지 않음.</x:v>
      </x:c>
    </x:row>
    <x:row r="10" ht="40" customHeight="1">
      <x:c r="A10" s="30" t="str">
        <x:v>입력 순서</x:v>
      </x:c>
      <x:c r="B10" s="30" t="str">
        <x:v>프로젝트 + 일정표 + 작업조건</x:v>
      </x:c>
      <x:c r="C10" s="30" t="str">
        <x:v>일정표는 받은 엑셀 예시. 작업조건은 온보딩에서 추가 확인할 입력의 예시이며, 일정 행 순서에서 자동 추론하지 않음.</x:v>
      </x:c>
    </x:row>
    <x:row r="11" ht="40" customHeight="1">
      <x:c r="A11" s="28" t="str">
        <x:v>기준 일정</x:v>
      </x:c>
      <x:c r="B11" s="28" t="str">
        <x:v>일정표의 원래 날짜 보존</x:v>
      </x:c>
      <x:c r="C11" s="28" t="str">
        <x:v>기준 날짜와 완료율은 고정 입력. 작업일수 및 간트는 수식. 이 파일 자체가 일정 최적화 프로그램은 아님.</x:v>
      </x:c>
    </x:row>
    <x:row r="12" ht="40" customHeight="1">
      <x:c r="A12" s="30" t="str">
        <x:v>휴무일</x:v>
      </x:c>
      <x:c r="B12" s="30" t="str">
        <x:v>캘린더의 데모 휴무일 적용</x:v>
      </x:c>
      <x:c r="C12" s="30" t="str">
        <x:v>토·일 휴무 및 임의의 현장 휴무 1일만 사용. 실제 국가별 법정 공휴일·노동법 자료가 아님.</x:v>
      </x:c>
    </x:row>
    <x:row r="13" ht="40" customHeight="1">
      <x:c r="A13" s="28" t="str">
        <x:v>연결 규칙</x:v>
      </x:c>
      <x:c r="B13" s="28" t="str">
        <x:v>FS / 종료 후 다음 작업일 착수</x:v>
      </x:c>
      <x:c r="C13" s="28" t="str">
        <x:v>작업조건에 명시한 관계만 필수 제약으로 사용. 병행 가능 작업을 임의로 직렬화하지 않음.</x:v>
      </x:c>
    </x:row>
    <x:row r="14" ht="40" customHeight="1">
      <x:c r="A14" s="30" t="str">
        <x:v>자원</x:v>
      </x:c>
      <x:c r="B14" s="30" t="str">
        <x:v>동일 자원그룹의 기본 수용량 1</x:v>
      </x:c>
      <x:c r="C14" s="30" t="str">
        <x:v>수요·수용량은 팀 단위. 실제 인원수·교대근무·생산성 자료가 아님.</x:v>
      </x:c>
    </x:row>
    <x:row r="15" ht="40" customHeight="1">
      <x:c r="A15" s="28" t="str">
        <x:v>사건 주입</x:v>
      </x:c>
      <x:c r="B15" s="28" t="str">
        <x:v>변경이벤트는 하나씩 주입</x:v>
      </x:c>
      <x:c r="C15" s="28" t="str">
        <x:v>각 이벤트는 기준 일정에서 독립 시연. 결합 시나리오는 별도 정의. 미래 이벤트를 에이전트 입력에 미리 포함하지 않음.</x:v>
      </x:c>
    </x:row>
    <x:row r="16" ht="40" customHeight="1">
      <x:c r="A16" s="30" t="str">
        <x:v>실시간 구분</x:v>
      </x:c>
      <x:c r="B16" s="30" t="str">
        <x:v>이 파일은 REPLAY 전용</x:v>
      </x:c>
      <x:c r="C16" s="30" t="str">
        <x:v>기상 수치와 정책 공지는 모두 합성. 실제 API 응답과 혼용하거나 실시간 검색 결과로 표시하지 않음.</x:v>
      </x:c>
    </x:row>
    <x:row r="17" ht="40" customHeight="1">
      <x:c r="A17" s="28" t="str">
        <x:v>정책 사건</x:v>
      </x:c>
      <x:c r="B17" s="28" t="str">
        <x:v>일정 지연일수 자동 확정 금지</x:v>
      </x:c>
      <x:c r="C17" s="28" t="str">
        <x:v>DEMO-NOTICE는 실제 법률이 아님. 적용 대상·처리기간이 없으므로 검토 업무만 생성하고 임의로 6개월을 더하지 않음.</x:v>
      </x:c>
    </x:row>
    <x:row r="18" ht="40" customHeight="1">
      <x:c r="A18" s="30" t="str">
        <x:v>안전</x:v>
      </x:c>
      <x:c r="B18" s="30" t="str">
        <x:v>수치 없는 합성 작업중지 공지</x:v>
      </x:c>
      <x:c r="C18" s="30" t="str">
        <x:v>실제 인양 허용 풍속·작업 안전판단을 제공하지 않음. 실운영 조건은 현장 책임자에게 승인받아야 함.</x:v>
      </x:c>
    </x:row>
    <x:row r="19" ht="40" customHeight="1">
      <x:c r="A19" s="28" t="str">
        <x:v>대응 승인</x:v>
      </x:c>
      <x:c r="B19" s="28" t="str">
        <x:v>조건부 선택지는 확정 일정과 분리</x:v>
      </x:c>
      <x:c r="C19" s="28" t="str">
        <x:v>추가팀·운송 변경은 수락 전까지 조건부. 외부 발송과 기준 일정 변경에는 사람의 승인 필요.</x:v>
      </x:c>
    </x:row>
    <x:row r="20" ht="40" customHeight="1">
      <x:c r="A20" s="30" t="str">
        <x:v>연동</x:v>
      </x:c>
      <x:c r="B20" s="30" t="str">
        <x:v>공개 검색어에 내부정보 미포함</x:v>
      </x:c>
      <x:c r="C20" s="30" t="str">
        <x:v>공개 검색에는 허용된 국가·공개 업체명·품목 키워드만 사용. 내부 일정·계약·고객정보를 검색어로 보내지 않음.</x:v>
      </x:c>
    </x:row>
    <x:row r="21" ht="40" customHeight="1">
      <x:c r="A21" s="28" t="str">
        <x:v>평가</x:v>
      </x:c>
      <x:c r="B21" s="28" t="str">
        <x:v>가상 입력에서 실제 계산</x:v>
      </x:c>
      <x:c r="C21" s="28" t="str">
        <x:v>앱이 일정·비용을 재계산해야 함. 미리 만든 답을 출력하지 않음. 이 데이터로 실제 기업의 절감효과를 주장하지 않음.</x:v>
      </x:c>
    </x:row>
    <x:row r="22">
      <x:c r="A22" s="2"/>
      <x:c r="B22" s="2"/>
      <x:c r="C22" s="2"/>
    </x:row>
    <x:row r="23">
      <x:c r="A23" s="2"/>
      <x:c r="B23" s="2"/>
      <x:c r="C23" s="2"/>
    </x:row>
  </x:sheetData>
  <x:mergeCells>
    <x:mergeCell ref="A1:C2"/>
    <x:mergeCell ref="A3:C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66" hidden="0" customWidth="1"/>
  </x:cols>
  <x:sheetData>
    <x:row r="1" ht="24" customHeight="1">
      <x:c r="A1" s="6" t="str">
        <x:v>PROJECT PROFILE</x:v>
      </x:c>
      <x:c r="B1" s="6"/>
      <x:c r="C1" s="6"/>
    </x:row>
    <x:row r="2" ht="24" customHeight="1">
      <x:c r="A2" s="6"/>
      <x:c r="B2" s="6"/>
      <x:c r="C2" s="6"/>
    </x:row>
    <x:row r="3" ht="20" customHeight="1">
      <x:c r="A3" s="13" t="str">
        <x:v>프로젝트 등록 시 사용하는 정보 · 날짜와 예산은 모두 시연용 가정</x:v>
      </x:c>
      <x:c r="B3" s="13"/>
      <x:c r="C3" s="13"/>
    </x:row>
    <x:row r="4" ht="20" customHeight="1">
      <x:c r="A4" s="13"/>
      <x:c r="B4" s="13"/>
      <x:c r="C4" s="13"/>
    </x:row>
    <x:row r="5">
      <x:c r="A5" s="2"/>
      <x:c r="B5" s="2"/>
      <x:c r="C5" s="2"/>
    </x:row>
    <x:row r="6">
      <x:c r="A6" s="2"/>
      <x:c r="B6" s="2"/>
      <x:c r="C6" s="2"/>
    </x:row>
    <x:row r="7" ht="32" customHeight="1">
      <x:c r="A7" s="21" t="str">
        <x:v>키</x:v>
      </x:c>
      <x:c r="B7" s="21" t="str">
        <x:v>값</x:v>
      </x:c>
      <x:c r="C7" s="21" t="str">
        <x:v>설명</x:v>
      </x:c>
    </x:row>
    <x:row r="8" ht="40" customHeight="1">
      <x:c r="A8" s="30" t="str">
        <x:v>project_id</x:v>
      </x:c>
      <x:c r="B8" s="30" t="str">
        <x:v>DEMO-P001</x:v>
      </x:c>
      <x:c r="C8" s="30" t="str">
        <x:v>가상 프로젝트 ID</x:v>
      </x:c>
    </x:row>
    <x:row r="9" ht="40" customHeight="1">
      <x:c r="A9" s="28" t="str">
        <x:v>project_name</x:v>
      </x:c>
      <x:c r="B9" s="28" t="str">
        <x:v>해외 생산설비 도입 및 시운전</x:v>
      </x:c>
      <x:c r="C9" s="28" t="str">
        <x:v>공장 전체 건설이 아닌 설비 도입 구간</x:v>
      </x:c>
    </x:row>
    <x:row r="10" ht="40" customHeight="1">
      <x:c r="A10" s="30" t="str">
        <x:v>site_id</x:v>
      </x:c>
      <x:c r="B10" s="30" t="str">
        <x:v>SITE-H1</x:v>
      </x:c>
      <x:c r="C10" s="30" t="str">
        <x:v>가상 현장</x:v>
      </x:c>
    </x:row>
    <x:row r="11" ht="40" customHeight="1">
      <x:c r="A11" s="28" t="str">
        <x:v>site_region</x:v>
      </x:c>
      <x:c r="B11" s="28" t="str">
        <x:v>Hungary / 가상 현장 H1</x:v>
      </x:c>
      <x:c r="C11" s="28" t="str">
        <x:v>지역 맥락만 사용. 실제 사업장을 의미하지 않음</x:v>
      </x:c>
    </x:row>
    <x:row r="12" ht="40" customHeight="1">
      <x:c r="A12" s="30" t="str">
        <x:v>timezone</x:v>
      </x:c>
      <x:c r="B12" s="30" t="str">
        <x:v>Europe/Budapest</x:v>
      </x:c>
      <x:c r="C12" s="30" t="str">
        <x:v>서비스의 시간대 설정 예시</x:v>
      </x:c>
    </x:row>
    <x:row r="13" ht="40" customHeight="1">
      <x:c r="A13" s="28" t="str">
        <x:v>baseline_start</x:v>
      </x:c>
      <x:c r="B13" s="32" t="n">
        <x:v>46279</x:v>
      </x:c>
      <x:c r="C13" s="28" t="str">
        <x:v>원래 계획의 시작</x:v>
      </x:c>
    </x:row>
    <x:row r="14" ht="40" customHeight="1">
      <x:c r="A14" s="30" t="str">
        <x:v>baseline_finish</x:v>
      </x:c>
      <x:c r="B14" s="34" t="n">
        <x:f>MAX('일정표'!E8:E27)</x:f>
        <x:v>46322</x:v>
      </x:c>
      <x:c r="C14" s="30" t="str">
        <x:v>일정표의 마지막 완료일</x:v>
      </x:c>
    </x:row>
    <x:row r="15" ht="40" customHeight="1">
      <x:c r="A15" s="28" t="str">
        <x:v>target_finish</x:v>
      </x:c>
      <x:c r="B15" s="32" t="n">
        <x:v>46323</x:v>
      </x:c>
      <x:c r="C15" s="28" t="str">
        <x:v>가상 목표 완료일</x:v>
      </x:c>
    </x:row>
    <x:row r="16" ht="40" customHeight="1">
      <x:c r="A16" s="30" t="str">
        <x:v>status_as_of</x:v>
      </x:c>
      <x:c r="B16" s="34" t="n">
        <x:v>46288</x:v>
      </x:c>
      <x:c r="C16" s="30" t="str">
        <x:v>진행상태의 기준일</x:v>
      </x:c>
    </x:row>
    <x:row r="17" ht="40" customHeight="1">
      <x:c r="A17" s="28" t="str">
        <x:v>extra_budget_krw</x:v>
      </x:c>
      <x:c r="B17" s="36" t="n">
        <x:v>3000000</x:v>
      </x:c>
      <x:c r="C17" s="28" t="str">
        <x:v>가상 추가 대응 예산</x:v>
      </x:c>
    </x:row>
    <x:row r="18" ht="40" customHeight="1">
      <x:c r="A18" s="30" t="str">
        <x:v>objective</x:v>
      </x:c>
      <x:c r="B18" s="30" t="str">
        <x:v>마감 준수 → 비용 → 변경 최소</x:v>
      </x:c>
      <x:c r="C18" s="30" t="str">
        <x:v>사용자가 선택할 우선순위 예시</x:v>
      </x:c>
    </x:row>
    <x:row r="19" ht="40" customHeight="1">
      <x:c r="A19" s="28" t="str">
        <x:v>input_mode</x:v>
      </x:c>
      <x:c r="B19" s="28" t="str">
        <x:v>REPLAY</x:v>
      </x:c>
      <x:c r="C19" s="28" t="str">
        <x:v>라이브 API 응답은 이 파일에 포함하지 않음</x:v>
      </x:c>
    </x:row>
    <x:row r="20" ht="40" customHeight="1">
      <x:c r="A20" s="30" t="str">
        <x:v>approval_required</x:v>
      </x:c>
      <x:c r="B20" s="30" t="str">
        <x:v>일정 확정 / 외부 발송 / 추가비용</x:v>
      </x:c>
      <x:c r="C20" s="30" t="str">
        <x:v>승인 전에는 초안과 시나리오만 생성</x:v>
      </x:c>
    </x:row>
    <x:row r="21" ht="40" customHeight="1">
      <x:c r="A21" s="28" t="str">
        <x:v>schedule_unit</x:v>
      </x:c>
      <x:c r="B21" s="28" t="str">
        <x:v>작업일, 월~금 + 캘린더 예외</x:v>
      </x:c>
      <x:c r="C21" s="28" t="str">
        <x:v>일 단위 간이 모델</x:v>
      </x:c>
    </x:row>
    <x:row r="22" ht="40" customHeight="1">
      <x:c r="A22" s="30" t="str">
        <x:v>data_origin</x:v>
      </x:c>
      <x:c r="B22" s="30" t="str">
        <x:v>SYNTHETIC</x:v>
      </x:c>
      <x:c r="C22" s="30" t="str">
        <x:v>실제 비공개 기업 자료 미사용</x:v>
      </x:c>
    </x:row>
    <x:row r="23">
      <x:c r="A23" s="2"/>
      <x:c r="B23" s="2"/>
      <x:c r="C23" s="2"/>
    </x:row>
    <x:row r="24">
      <x:c r="A24" s="2"/>
      <x:c r="B24" s="2"/>
      <x:c r="C24" s="2"/>
    </x:row>
  </x:sheetData>
  <x:mergeCells>
    <x:mergeCell ref="A1:C2"/>
    <x:mergeCell ref="A3:C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30" hidden="0" customWidth="1"/>
    <x:col min="4" max="4" width="14" hidden="0" customWidth="1"/>
    <x:col min="5" max="5" width="14" hidden="0" customWidth="1"/>
    <x:col min="6" max="6" width="12" hidden="0" customWidth="1"/>
    <x:col min="7" max="7" width="17" hidden="0" customWidth="1"/>
    <x:col min="8" max="8" width="16" hidden="0" customWidth="1"/>
    <x:col min="9" max="9" width="12" hidden="0" customWidth="1"/>
    <x:col min="10" max="10" width="12" hidden="0" customWidth="1"/>
    <x:col min="11" max="11" width="22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</x:cols>
  <x:sheetData>
    <x:row r="1" ht="24" customHeight="1">
      <x:c r="A1" s="6" t="str">
        <x:v>BASELINE SCHEDULE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2" ht="24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3" ht="20" customHeight="1">
      <x:c r="A3" s="13" t="str">
        <x:v>원본 입력 예시 · 날짜는 고정된 계획값 / F열 작업일수와 오른쪽 간트는 수식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</x:row>
    <x:row r="4" ht="20" customHeight="1">
      <x:c r="A4" s="13"/>
      <x:c r="B4" s="13"/>
      <x:c r="C4" s="13"/>
      <x:c r="D4" s="13"/>
      <x:c r="E4" s="13"/>
      <x:c r="F4" s="13"/>
      <x:c r="G4" s="13"/>
      <x:c r="H4" s="13"/>
      <x:c r="I4" s="13"/>
      <x:c r="J4" s="13"/>
      <x:c r="K4" s="13"/>
    </x:row>
    <x:row r="5">
      <x:c r="A5" s="2" t="str">
        <x:v>작업 수</x:v>
      </x:c>
      <x:c r="B5" s="2" t="n">
        <x:f>COUNTA(A8:A27)</x:f>
        <x:v>20</x:v>
      </x:c>
      <x:c r="C5" s="2"/>
      <x:c r="D5" s="2" t="str">
        <x:v>최종 완료일</x:v>
      </x:c>
      <x:c r="E5" s="52" t="n">
        <x:f>MAX(E8:E27)</x:f>
        <x:v>46322</x:v>
      </x:c>
      <x:c r="F5" s="2"/>
      <x:c r="G5" s="2" t="str">
        <x:v>데이터 성격</x:v>
      </x:c>
      <x:c r="H5" s="2" t="str">
        <x:v>합성 입력</x:v>
      </x:c>
      <x:c r="I5" s="2"/>
      <x:c r="J5" s="2"/>
      <x:c r="K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</x:row>
    <x:row r="7" ht="32" customHeight="1">
      <x:c r="A7" s="21" t="str">
        <x:v>작업 ID</x:v>
      </x:c>
      <x:c r="B7" s="21" t="str">
        <x:v>단계</x:v>
      </x:c>
      <x:c r="C7" s="21" t="str">
        <x:v>작업명</x:v>
      </x:c>
      <x:c r="D7" s="21" t="str">
        <x:v>계획 시작</x:v>
      </x:c>
      <x:c r="E7" s="21" t="str">
        <x:v>계획 종료</x:v>
      </x:c>
      <x:c r="F7" s="21" t="str">
        <x:v>작업일수</x:v>
      </x:c>
      <x:c r="G7" s="21" t="str">
        <x:v>담당 조직</x:v>
      </x:c>
      <x:c r="H7" s="21" t="str">
        <x:v>위치</x:v>
      </x:c>
      <x:c r="I7" s="21" t="str">
        <x:v>상태</x:v>
      </x:c>
      <x:c r="J7" s="21" t="str">
        <x:v>진척률</x:v>
      </x:c>
      <x:c r="K7" s="21" t="str">
        <x:v>비고</x:v>
      </x:c>
      <x:c r="M7" s="45" t="n">
        <x:v>46279</x:v>
      </x:c>
      <x:c r="N7" s="45" t="n">
        <x:v>46286</x:v>
      </x:c>
      <x:c r="O7" s="45" t="n">
        <x:v>46293</x:v>
      </x:c>
      <x:c r="P7" s="45" t="n">
        <x:v>46300</x:v>
      </x:c>
      <x:c r="Q7" s="45" t="n">
        <x:v>46307</x:v>
      </x:c>
      <x:c r="R7" s="45" t="n">
        <x:v>46314</x:v>
      </x:c>
      <x:c r="S7" s="45" t="n">
        <x:v>46321</x:v>
      </x:c>
    </x:row>
    <x:row r="8" ht="40" customHeight="1">
      <x:c r="A8" s="30" t="str">
        <x:v>T01</x:v>
      </x:c>
      <x:c r="B8" s="30" t="str">
        <x:v>설계</x:v>
      </x:c>
      <x:c r="C8" s="30" t="str">
        <x:v>요구사양 확정</x:v>
      </x:c>
      <x:c r="D8" s="34" t="n">
        <x:v>46279</x:v>
      </x:c>
      <x:c r="E8" s="34" t="n">
        <x:v>46281</x:v>
      </x:c>
      <x:c r="F8" s="30" t="n">
        <x:f>NETWORKDAYS(D8,E8,'캘린더'!$A$8:$A$8)</x:f>
        <x:v>3</x:v>
      </x:c>
      <x:c r="G8" s="30" t="str">
        <x:v>발주사 A</x:v>
      </x:c>
      <x:c r="H8" s="30" t="str">
        <x:v>OFFICE</x:v>
      </x:c>
      <x:c r="I8" s="30" t="str">
        <x:v>완료</x:v>
      </x:c>
      <x:c r="J8" s="38" t="n">
        <x:v>1</x:v>
      </x:c>
      <x:c r="K8" s="30" t="str">
        <x:v>가상 기준 일정</x:v>
      </x:c>
      <x:c r="M8" s="49" t="str">
        <x:f>IF(AND(M$7&lt;=$E8,M$7+4&gt;=$D8),"●","")</x:f>
        <x:v>●</x:v>
      </x:c>
      <x:c r="N8" s="49" t="str">
        <x:f>IF(AND(N$7&lt;=$E8,N$7+4&gt;=$D8),"●","")</x:f>
      </x:c>
      <x:c r="O8" s="49" t="str">
        <x:f>IF(AND(O$7&lt;=$E8,O$7+4&gt;=$D8),"●","")</x:f>
      </x:c>
      <x:c r="P8" s="49" t="str">
        <x:f>IF(AND(P$7&lt;=$E8,P$7+4&gt;=$D8),"●","")</x:f>
      </x:c>
      <x:c r="Q8" s="49" t="str">
        <x:f>IF(AND(Q$7&lt;=$E8,Q$7+4&gt;=$D8),"●","")</x:f>
      </x:c>
      <x:c r="R8" s="49" t="str">
        <x:f>IF(AND(R$7&lt;=$E8,R$7+4&gt;=$D8),"●","")</x:f>
      </x:c>
      <x:c r="S8" s="49" t="str">
        <x:f>IF(AND(S$7&lt;=$E8,S$7+4&gt;=$D8),"●","")</x:f>
      </x:c>
    </x:row>
    <x:row r="9" ht="40" customHeight="1">
      <x:c r="A9" s="28" t="str">
        <x:v>T02</x:v>
      </x:c>
      <x:c r="B9" s="28" t="str">
        <x:v>설계</x:v>
      </x:c>
      <x:c r="C9" s="28" t="str">
        <x:v>제작도 승인</x:v>
      </x:c>
      <x:c r="D9" s="32" t="n">
        <x:v>46282</x:v>
      </x:c>
      <x:c r="E9" s="32" t="n">
        <x:v>46283</x:v>
      </x:c>
      <x:c r="F9" s="28" t="n">
        <x:f>NETWORKDAYS(D9,E9,'캘린더'!$A$8:$A$8)</x:f>
        <x:v>2</x:v>
      </x:c>
      <x:c r="G9" s="28" t="str">
        <x:v>발주사 A</x:v>
      </x:c>
      <x:c r="H9" s="28" t="str">
        <x:v>OFFICE</x:v>
      </x:c>
      <x:c r="I9" s="28" t="str">
        <x:v>완료</x:v>
      </x:c>
      <x:c r="J9" s="39" t="n">
        <x:v>1</x:v>
      </x:c>
      <x:c r="K9" s="28" t="str">
        <x:v>가상 기준 일정</x:v>
      </x:c>
      <x:c r="M9" s="49" t="str">
        <x:f>IF(AND(M$7&lt;=$E9,M$7+4&gt;=$D9),"●","")</x:f>
        <x:v>●</x:v>
      </x:c>
      <x:c r="N9" s="49" t="str">
        <x:f>IF(AND(N$7&lt;=$E9,N$7+4&gt;=$D9),"●","")</x:f>
      </x:c>
      <x:c r="O9" s="49" t="str">
        <x:f>IF(AND(O$7&lt;=$E9,O$7+4&gt;=$D9),"●","")</x:f>
      </x:c>
      <x:c r="P9" s="49" t="str">
        <x:f>IF(AND(P$7&lt;=$E9,P$7+4&gt;=$D9),"●","")</x:f>
      </x:c>
      <x:c r="Q9" s="49" t="str">
        <x:f>IF(AND(Q$7&lt;=$E9,Q$7+4&gt;=$D9),"●","")</x:f>
      </x:c>
      <x:c r="R9" s="49" t="str">
        <x:f>IF(AND(R$7&lt;=$E9,R$7+4&gt;=$D9),"●","")</x:f>
      </x:c>
      <x:c r="S9" s="49" t="str">
        <x:f>IF(AND(S$7&lt;=$E9,S$7+4&gt;=$D9),"●","")</x:f>
      </x:c>
    </x:row>
    <x:row r="10" ht="40" customHeight="1">
      <x:c r="A10" s="30" t="str">
        <x:v>T03</x:v>
      </x:c>
      <x:c r="B10" s="30" t="str">
        <x:v>제작</x:v>
      </x:c>
      <x:c r="C10" s="30" t="str">
        <x:v>설비 제작</x:v>
      </x:c>
      <x:c r="D10" s="34" t="n">
        <x:v>46286</x:v>
      </x:c>
      <x:c r="E10" s="34" t="n">
        <x:v>46290</x:v>
      </x:c>
      <x:c r="F10" s="30" t="n">
        <x:f>NETWORKDAYS(D10,E10,'캘린더'!$A$8:$A$8)</x:f>
        <x:v>5</x:v>
      </x:c>
      <x:c r="G10" s="30" t="str">
        <x:v>공급사 B</x:v>
      </x:c>
      <x:c r="H10" s="30" t="str">
        <x:v>SUPPLIER</x:v>
      </x:c>
      <x:c r="I10" s="30" t="str">
        <x:v>진행중</x:v>
      </x:c>
      <x:c r="J10" s="38" t="n">
        <x:v>0.6</x:v>
      </x:c>
      <x:c r="K10" s="30" t="str">
        <x:v>가상 기준 일정</x:v>
      </x:c>
      <x:c r="M10" s="49" t="str">
        <x:f>IF(AND(M$7&lt;=$E10,M$7+4&gt;=$D10),"●","")</x:f>
      </x:c>
      <x:c r="N10" s="49" t="str">
        <x:f>IF(AND(N$7&lt;=$E10,N$7+4&gt;=$D10),"●","")</x:f>
        <x:v>●</x:v>
      </x:c>
      <x:c r="O10" s="49" t="str">
        <x:f>IF(AND(O$7&lt;=$E10,O$7+4&gt;=$D10),"●","")</x:f>
      </x:c>
      <x:c r="P10" s="49" t="str">
        <x:f>IF(AND(P$7&lt;=$E10,P$7+4&gt;=$D10),"●","")</x:f>
      </x:c>
      <x:c r="Q10" s="49" t="str">
        <x:f>IF(AND(Q$7&lt;=$E10,Q$7+4&gt;=$D10),"●","")</x:f>
      </x:c>
      <x:c r="R10" s="49" t="str">
        <x:f>IF(AND(R$7&lt;=$E10,R$7+4&gt;=$D10),"●","")</x:f>
      </x:c>
      <x:c r="S10" s="49" t="str">
        <x:f>IF(AND(S$7&lt;=$E10,S$7+4&gt;=$D10),"●","")</x:f>
      </x:c>
    </x:row>
    <x:row r="11" ht="40" customHeight="1">
      <x:c r="A11" s="28" t="str">
        <x:v>T04</x:v>
      </x:c>
      <x:c r="B11" s="28" t="str">
        <x:v>제작</x:v>
      </x:c>
      <x:c r="C11" s="28" t="str">
        <x:v>공장 인수시험(FAT)</x:v>
      </x:c>
      <x:c r="D11" s="32" t="n">
        <x:v>46293</x:v>
      </x:c>
      <x:c r="E11" s="32" t="n">
        <x:v>46294</x:v>
      </x:c>
      <x:c r="F11" s="28" t="n">
        <x:f>NETWORKDAYS(D11,E11,'캘린더'!$A$8:$A$8)</x:f>
        <x:v>2</x:v>
      </x:c>
      <x:c r="G11" s="28" t="str">
        <x:v>공급사 B</x:v>
      </x:c>
      <x:c r="H11" s="28" t="str">
        <x:v>SUPPLIER</x:v>
      </x:c>
      <x:c r="I11" s="28" t="str">
        <x:v>예정</x:v>
      </x:c>
      <x:c r="J11" s="39" t="n">
        <x:v>0</x:v>
      </x:c>
      <x:c r="K11" s="28" t="str">
        <x:v>가상 기준 일정</x:v>
      </x:c>
      <x:c r="M11" s="49" t="str">
        <x:f>IF(AND(M$7&lt;=$E11,M$7+4&gt;=$D11),"●","")</x:f>
      </x:c>
      <x:c r="N11" s="49" t="str">
        <x:f>IF(AND(N$7&lt;=$E11,N$7+4&gt;=$D11),"●","")</x:f>
      </x:c>
      <x:c r="O11" s="49" t="str">
        <x:f>IF(AND(O$7&lt;=$E11,O$7+4&gt;=$D11),"●","")</x:f>
        <x:v>●</x:v>
      </x:c>
      <x:c r="P11" s="49" t="str">
        <x:f>IF(AND(P$7&lt;=$E11,P$7+4&gt;=$D11),"●","")</x:f>
      </x:c>
      <x:c r="Q11" s="49" t="str">
        <x:f>IF(AND(Q$7&lt;=$E11,Q$7+4&gt;=$D11),"●","")</x:f>
      </x:c>
      <x:c r="R11" s="49" t="str">
        <x:f>IF(AND(R$7&lt;=$E11,R$7+4&gt;=$D11),"●","")</x:f>
      </x:c>
      <x:c r="S11" s="49" t="str">
        <x:f>IF(AND(S$7&lt;=$E11,S$7+4&gt;=$D11),"●","")</x:f>
      </x:c>
    </x:row>
    <x:row r="12" ht="40" customHeight="1">
      <x:c r="A12" s="30" t="str">
        <x:v>T05</x:v>
      </x:c>
      <x:c r="B12" s="30" t="str">
        <x:v>출하</x:v>
      </x:c>
      <x:c r="C12" s="30" t="str">
        <x:v>포장 및 출하서류 준비</x:v>
      </x:c>
      <x:c r="D12" s="34" t="n">
        <x:v>46295</x:v>
      </x:c>
      <x:c r="E12" s="34" t="n">
        <x:v>46295</x:v>
      </x:c>
      <x:c r="F12" s="30" t="n">
        <x:f>NETWORKDAYS(D12,E12,'캘린더'!$A$8:$A$8)</x:f>
        <x:v>1</x:v>
      </x:c>
      <x:c r="G12" s="30" t="str">
        <x:v>공급사 B</x:v>
      </x:c>
      <x:c r="H12" s="30" t="str">
        <x:v>SUPPLIER</x:v>
      </x:c>
      <x:c r="I12" s="30" t="str">
        <x:v>예정</x:v>
      </x:c>
      <x:c r="J12" s="38" t="n">
        <x:v>0</x:v>
      </x:c>
      <x:c r="K12" s="30" t="str">
        <x:v>가상 기준 일정</x:v>
      </x:c>
      <x:c r="M12" s="49" t="str">
        <x:f>IF(AND(M$7&lt;=$E12,M$7+4&gt;=$D12),"●","")</x:f>
      </x:c>
      <x:c r="N12" s="49" t="str">
        <x:f>IF(AND(N$7&lt;=$E12,N$7+4&gt;=$D12),"●","")</x:f>
      </x:c>
      <x:c r="O12" s="49" t="str">
        <x:f>IF(AND(O$7&lt;=$E12,O$7+4&gt;=$D12),"●","")</x:f>
        <x:v>●</x:v>
      </x:c>
      <x:c r="P12" s="49" t="str">
        <x:f>IF(AND(P$7&lt;=$E12,P$7+4&gt;=$D12),"●","")</x:f>
      </x:c>
      <x:c r="Q12" s="49" t="str">
        <x:f>IF(AND(Q$7&lt;=$E12,Q$7+4&gt;=$D12),"●","")</x:f>
      </x:c>
      <x:c r="R12" s="49" t="str">
        <x:f>IF(AND(R$7&lt;=$E12,R$7+4&gt;=$D12),"●","")</x:f>
      </x:c>
      <x:c r="S12" s="49" t="str">
        <x:f>IF(AND(S$7&lt;=$E12,S$7+4&gt;=$D12),"●","")</x:f>
      </x:c>
    </x:row>
    <x:row r="13" ht="40" customHeight="1">
      <x:c r="A13" s="28" t="str">
        <x:v>T06</x:v>
      </x:c>
      <x:c r="B13" s="28" t="str">
        <x:v>물류</x:v>
      </x:c>
      <x:c r="C13" s="28" t="str">
        <x:v>운송 및 통관</x:v>
      </x:c>
      <x:c r="D13" s="32" t="n">
        <x:v>46296</x:v>
      </x:c>
      <x:c r="E13" s="32" t="n">
        <x:v>46301</x:v>
      </x:c>
      <x:c r="F13" s="28" t="n">
        <x:f>NETWORKDAYS(D13,E13,'캘린더'!$A$8:$A$8)</x:f>
        <x:v>4</x:v>
      </x:c>
      <x:c r="G13" s="28" t="str">
        <x:v>물류사 C</x:v>
      </x:c>
      <x:c r="H13" s="28" t="str">
        <x:v>TRANSIT</x:v>
      </x:c>
      <x:c r="I13" s="28" t="str">
        <x:v>예정</x:v>
      </x:c>
      <x:c r="J13" s="39" t="n">
        <x:v>0</x:v>
      </x:c>
      <x:c r="K13" s="28" t="str">
        <x:v>가상 기준 일정</x:v>
      </x:c>
      <x:c r="M13" s="49" t="str">
        <x:f>IF(AND(M$7&lt;=$E13,M$7+4&gt;=$D13),"●","")</x:f>
      </x:c>
      <x:c r="N13" s="49" t="str">
        <x:f>IF(AND(N$7&lt;=$E13,N$7+4&gt;=$D13),"●","")</x:f>
      </x:c>
      <x:c r="O13" s="49" t="str">
        <x:f>IF(AND(O$7&lt;=$E13,O$7+4&gt;=$D13),"●","")</x:f>
        <x:v>●</x:v>
      </x:c>
      <x:c r="P13" s="49" t="str">
        <x:f>IF(AND(P$7&lt;=$E13,P$7+4&gt;=$D13),"●","")</x:f>
        <x:v>●</x:v>
      </x:c>
      <x:c r="Q13" s="49" t="str">
        <x:f>IF(AND(Q$7&lt;=$E13,Q$7+4&gt;=$D13),"●","")</x:f>
      </x:c>
      <x:c r="R13" s="49" t="str">
        <x:f>IF(AND(R$7&lt;=$E13,R$7+4&gt;=$D13),"●","")</x:f>
      </x:c>
      <x:c r="S13" s="49" t="str">
        <x:f>IF(AND(S$7&lt;=$E13,S$7+4&gt;=$D13),"●","")</x:f>
      </x:c>
    </x:row>
    <x:row r="14" ht="40" customHeight="1">
      <x:c r="A14" s="30" t="str">
        <x:v>T07</x:v>
      </x:c>
      <x:c r="B14" s="30" t="str">
        <x:v>현장준비</x:v>
      </x:c>
      <x:c r="C14" s="30" t="str">
        <x:v>현장 기초 준비</x:v>
      </x:c>
      <x:c r="D14" s="34" t="n">
        <x:v>46282</x:v>
      </x:c>
      <x:c r="E14" s="34" t="n">
        <x:v>46288</x:v>
      </x:c>
      <x:c r="F14" s="30" t="n">
        <x:f>NETWORKDAYS(D14,E14,'캘린더'!$A$8:$A$8)</x:f>
        <x:v>5</x:v>
      </x:c>
      <x:c r="G14" s="30" t="str">
        <x:v>시공사 D</x:v>
      </x:c>
      <x:c r="H14" s="30" t="str">
        <x:v>SITE-H1</x:v>
      </x:c>
      <x:c r="I14" s="30" t="str">
        <x:v>진행중</x:v>
      </x:c>
      <x:c r="J14" s="38" t="n">
        <x:v>0.8</x:v>
      </x:c>
      <x:c r="K14" s="30" t="str">
        <x:v>가상 기준 일정</x:v>
      </x:c>
      <x:c r="M14" s="49" t="str">
        <x:f>IF(AND(M$7&lt;=$E14,M$7+4&gt;=$D14),"●","")</x:f>
        <x:v>●</x:v>
      </x:c>
      <x:c r="N14" s="49" t="str">
        <x:f>IF(AND(N$7&lt;=$E14,N$7+4&gt;=$D14),"●","")</x:f>
        <x:v>●</x:v>
      </x:c>
      <x:c r="O14" s="49" t="str">
        <x:f>IF(AND(O$7&lt;=$E14,O$7+4&gt;=$D14),"●","")</x:f>
      </x:c>
      <x:c r="P14" s="49" t="str">
        <x:f>IF(AND(P$7&lt;=$E14,P$7+4&gt;=$D14),"●","")</x:f>
      </x:c>
      <x:c r="Q14" s="49" t="str">
        <x:f>IF(AND(Q$7&lt;=$E14,Q$7+4&gt;=$D14),"●","")</x:f>
      </x:c>
      <x:c r="R14" s="49" t="str">
        <x:f>IF(AND(R$7&lt;=$E14,R$7+4&gt;=$D14),"●","")</x:f>
      </x:c>
      <x:c r="S14" s="49" t="str">
        <x:f>IF(AND(S$7&lt;=$E14,S$7+4&gt;=$D14),"●","")</x:f>
      </x:c>
    </x:row>
    <x:row r="15" ht="40" customHeight="1">
      <x:c r="A15" s="28" t="str">
        <x:v>T08</x:v>
      </x:c>
      <x:c r="B15" s="28" t="str">
        <x:v>현장준비</x:v>
      </x:c>
      <x:c r="C15" s="28" t="str">
        <x:v>전력·유틸리티 인입</x:v>
      </x:c>
      <x:c r="D15" s="32" t="n">
        <x:v>46289</x:v>
      </x:c>
      <x:c r="E15" s="32" t="n">
        <x:v>46295</x:v>
      </x:c>
      <x:c r="F15" s="28" t="n">
        <x:f>NETWORKDAYS(D15,E15,'캘린더'!$A$8:$A$8)</x:f>
        <x:v>5</x:v>
      </x:c>
      <x:c r="G15" s="28" t="str">
        <x:v>시공사 D</x:v>
      </x:c>
      <x:c r="H15" s="28" t="str">
        <x:v>SITE-H1</x:v>
      </x:c>
      <x:c r="I15" s="28" t="str">
        <x:v>예정</x:v>
      </x:c>
      <x:c r="J15" s="39" t="n">
        <x:v>0</x:v>
      </x:c>
      <x:c r="K15" s="28" t="str">
        <x:v>가상 기준 일정</x:v>
      </x:c>
      <x:c r="M15" s="49" t="str">
        <x:f>IF(AND(M$7&lt;=$E15,M$7+4&gt;=$D15),"●","")</x:f>
      </x:c>
      <x:c r="N15" s="49" t="str">
        <x:f>IF(AND(N$7&lt;=$E15,N$7+4&gt;=$D15),"●","")</x:f>
        <x:v>●</x:v>
      </x:c>
      <x:c r="O15" s="49" t="str">
        <x:f>IF(AND(O$7&lt;=$E15,O$7+4&gt;=$D15),"●","")</x:f>
        <x:v>●</x:v>
      </x:c>
      <x:c r="P15" s="49" t="str">
        <x:f>IF(AND(P$7&lt;=$E15,P$7+4&gt;=$D15),"●","")</x:f>
      </x:c>
      <x:c r="Q15" s="49" t="str">
        <x:f>IF(AND(Q$7&lt;=$E15,Q$7+4&gt;=$D15),"●","")</x:f>
      </x:c>
      <x:c r="R15" s="49" t="str">
        <x:f>IF(AND(R$7&lt;=$E15,R$7+4&gt;=$D15),"●","")</x:f>
      </x:c>
      <x:c r="S15" s="49" t="str">
        <x:f>IF(AND(S$7&lt;=$E15,S$7+4&gt;=$D15),"●","")</x:f>
      </x:c>
    </x:row>
    <x:row r="16" ht="40" customHeight="1">
      <x:c r="A16" s="30" t="str">
        <x:v>T09</x:v>
      </x:c>
      <x:c r="B16" s="30" t="str">
        <x:v>현장준비</x:v>
      </x:c>
      <x:c r="C16" s="30" t="str">
        <x:v>반입 동선 확보</x:v>
      </x:c>
      <x:c r="D16" s="34" t="n">
        <x:v>46289</x:v>
      </x:c>
      <x:c r="E16" s="34" t="n">
        <x:v>46290</x:v>
      </x:c>
      <x:c r="F16" s="30" t="n">
        <x:f>NETWORKDAYS(D16,E16,'캘린더'!$A$8:$A$8)</x:f>
        <x:v>2</x:v>
      </x:c>
      <x:c r="G16" s="30" t="str">
        <x:v>시공사 D</x:v>
      </x:c>
      <x:c r="H16" s="30" t="str">
        <x:v>SITE-H1</x:v>
      </x:c>
      <x:c r="I16" s="30" t="str">
        <x:v>예정</x:v>
      </x:c>
      <x:c r="J16" s="38" t="n">
        <x:v>0</x:v>
      </x:c>
      <x:c r="K16" s="30" t="str">
        <x:v>가상 기준 일정</x:v>
      </x:c>
      <x:c r="M16" s="49" t="str">
        <x:f>IF(AND(M$7&lt;=$E16,M$7+4&gt;=$D16),"●","")</x:f>
      </x:c>
      <x:c r="N16" s="49" t="str">
        <x:f>IF(AND(N$7&lt;=$E16,N$7+4&gt;=$D16),"●","")</x:f>
        <x:v>●</x:v>
      </x:c>
      <x:c r="O16" s="49" t="str">
        <x:f>IF(AND(O$7&lt;=$E16,O$7+4&gt;=$D16),"●","")</x:f>
      </x:c>
      <x:c r="P16" s="49" t="str">
        <x:f>IF(AND(P$7&lt;=$E16,P$7+4&gt;=$D16),"●","")</x:f>
      </x:c>
      <x:c r="Q16" s="49" t="str">
        <x:f>IF(AND(Q$7&lt;=$E16,Q$7+4&gt;=$D16),"●","")</x:f>
      </x:c>
      <x:c r="R16" s="49" t="str">
        <x:f>IF(AND(R$7&lt;=$E16,R$7+4&gt;=$D16),"●","")</x:f>
      </x:c>
      <x:c r="S16" s="49" t="str">
        <x:f>IF(AND(S$7&lt;=$E16,S$7+4&gt;=$D16),"●","")</x:f>
      </x:c>
    </x:row>
    <x:row r="17" ht="40" customHeight="1">
      <x:c r="A17" s="28" t="str">
        <x:v>T10</x:v>
      </x:c>
      <x:c r="B17" s="28" t="str">
        <x:v>현장준비</x:v>
      </x:c>
      <x:c r="C17" s="28" t="str">
        <x:v>인양 작업 준비</x:v>
      </x:c>
      <x:c r="D17" s="32" t="n">
        <x:v>46293</x:v>
      </x:c>
      <x:c r="E17" s="32" t="n">
        <x:v>46293</x:v>
      </x:c>
      <x:c r="F17" s="28" t="n">
        <x:f>NETWORKDAYS(D17,E17,'캘린더'!$A$8:$A$8)</x:f>
        <x:v>1</x:v>
      </x:c>
      <x:c r="G17" s="28" t="str">
        <x:v>설치사 E</x:v>
      </x:c>
      <x:c r="H17" s="28" t="str">
        <x:v>SITE-H1</x:v>
      </x:c>
      <x:c r="I17" s="28" t="str">
        <x:v>예정</x:v>
      </x:c>
      <x:c r="J17" s="39" t="n">
        <x:v>0</x:v>
      </x:c>
      <x:c r="K17" s="28" t="str">
        <x:v>가상 기준 일정</x:v>
      </x:c>
      <x:c r="M17" s="49" t="str">
        <x:f>IF(AND(M$7&lt;=$E17,M$7+4&gt;=$D17),"●","")</x:f>
      </x:c>
      <x:c r="N17" s="49" t="str">
        <x:f>IF(AND(N$7&lt;=$E17,N$7+4&gt;=$D17),"●","")</x:f>
      </x:c>
      <x:c r="O17" s="49" t="str">
        <x:f>IF(AND(O$7&lt;=$E17,O$7+4&gt;=$D17),"●","")</x:f>
        <x:v>●</x:v>
      </x:c>
      <x:c r="P17" s="49" t="str">
        <x:f>IF(AND(P$7&lt;=$E17,P$7+4&gt;=$D17),"●","")</x:f>
      </x:c>
      <x:c r="Q17" s="49" t="str">
        <x:f>IF(AND(Q$7&lt;=$E17,Q$7+4&gt;=$D17),"●","")</x:f>
      </x:c>
      <x:c r="R17" s="49" t="str">
        <x:f>IF(AND(R$7&lt;=$E17,R$7+4&gt;=$D17),"●","")</x:f>
      </x:c>
      <x:c r="S17" s="49" t="str">
        <x:f>IF(AND(S$7&lt;=$E17,S$7+4&gt;=$D17),"●","")</x:f>
      </x:c>
    </x:row>
    <x:row r="18" ht="40" customHeight="1">
      <x:c r="A18" s="30" t="str">
        <x:v>T11</x:v>
      </x:c>
      <x:c r="B18" s="30" t="str">
        <x:v>설치</x:v>
      </x:c>
      <x:c r="C18" s="30" t="str">
        <x:v>장비 반입 및 인양</x:v>
      </x:c>
      <x:c r="D18" s="34" t="n">
        <x:v>46302</x:v>
      </x:c>
      <x:c r="E18" s="34" t="n">
        <x:v>46302</x:v>
      </x:c>
      <x:c r="F18" s="30" t="n">
        <x:f>NETWORKDAYS(D18,E18,'캘린더'!$A$8:$A$8)</x:f>
        <x:v>1</x:v>
      </x:c>
      <x:c r="G18" s="30" t="str">
        <x:v>설치사 E</x:v>
      </x:c>
      <x:c r="H18" s="30" t="str">
        <x:v>SITE-H1</x:v>
      </x:c>
      <x:c r="I18" s="30" t="str">
        <x:v>예정</x:v>
      </x:c>
      <x:c r="J18" s="38" t="n">
        <x:v>0</x:v>
      </x:c>
      <x:c r="K18" s="30" t="str">
        <x:v>가상 기준 일정</x:v>
      </x:c>
      <x:c r="M18" s="49" t="str">
        <x:f>IF(AND(M$7&lt;=$E18,M$7+4&gt;=$D18),"●","")</x:f>
      </x:c>
      <x:c r="N18" s="49" t="str">
        <x:f>IF(AND(N$7&lt;=$E18,N$7+4&gt;=$D18),"●","")</x:f>
      </x:c>
      <x:c r="O18" s="49" t="str">
        <x:f>IF(AND(O$7&lt;=$E18,O$7+4&gt;=$D18),"●","")</x:f>
      </x:c>
      <x:c r="P18" s="49" t="str">
        <x:f>IF(AND(P$7&lt;=$E18,P$7+4&gt;=$D18),"●","")</x:f>
        <x:v>●</x:v>
      </x:c>
      <x:c r="Q18" s="49" t="str">
        <x:f>IF(AND(Q$7&lt;=$E18,Q$7+4&gt;=$D18),"●","")</x:f>
      </x:c>
      <x:c r="R18" s="49" t="str">
        <x:f>IF(AND(R$7&lt;=$E18,R$7+4&gt;=$D18),"●","")</x:f>
      </x:c>
      <x:c r="S18" s="49" t="str">
        <x:f>IF(AND(S$7&lt;=$E18,S$7+4&gt;=$D18),"●","")</x:f>
      </x:c>
    </x:row>
    <x:row r="19" ht="40" customHeight="1">
      <x:c r="A19" s="28" t="str">
        <x:v>T12</x:v>
      </x:c>
      <x:c r="B19" s="28" t="str">
        <x:v>설치</x:v>
      </x:c>
      <x:c r="C19" s="28" t="str">
        <x:v>기계 설치</x:v>
      </x:c>
      <x:c r="D19" s="32" t="n">
        <x:v>46303</x:v>
      </x:c>
      <x:c r="E19" s="32" t="n">
        <x:v>46307</x:v>
      </x:c>
      <x:c r="F19" s="28" t="n">
        <x:f>NETWORKDAYS(D19,E19,'캘린더'!$A$8:$A$8)</x:f>
        <x:v>3</x:v>
      </x:c>
      <x:c r="G19" s="28" t="str">
        <x:v>설치사 E</x:v>
      </x:c>
      <x:c r="H19" s="28" t="str">
        <x:v>SITE-H1</x:v>
      </x:c>
      <x:c r="I19" s="28" t="str">
        <x:v>예정</x:v>
      </x:c>
      <x:c r="J19" s="39" t="n">
        <x:v>0</x:v>
      </x:c>
      <x:c r="K19" s="28" t="str">
        <x:v>가상 기준 일정</x:v>
      </x:c>
      <x:c r="M19" s="49" t="str">
        <x:f>IF(AND(M$7&lt;=$E19,M$7+4&gt;=$D19),"●","")</x:f>
      </x:c>
      <x:c r="N19" s="49" t="str">
        <x:f>IF(AND(N$7&lt;=$E19,N$7+4&gt;=$D19),"●","")</x:f>
      </x:c>
      <x:c r="O19" s="49" t="str">
        <x:f>IF(AND(O$7&lt;=$E19,O$7+4&gt;=$D19),"●","")</x:f>
      </x:c>
      <x:c r="P19" s="49" t="str">
        <x:f>IF(AND(P$7&lt;=$E19,P$7+4&gt;=$D19),"●","")</x:f>
        <x:v>●</x:v>
      </x:c>
      <x:c r="Q19" s="49" t="str">
        <x:f>IF(AND(Q$7&lt;=$E19,Q$7+4&gt;=$D19),"●","")</x:f>
        <x:v>●</x:v>
      </x:c>
      <x:c r="R19" s="49" t="str">
        <x:f>IF(AND(R$7&lt;=$E19,R$7+4&gt;=$D19),"●","")</x:f>
      </x:c>
      <x:c r="S19" s="49" t="str">
        <x:f>IF(AND(S$7&lt;=$E19,S$7+4&gt;=$D19),"●","")</x:f>
      </x:c>
    </x:row>
    <x:row r="20" ht="40" customHeight="1">
      <x:c r="A20" s="30" t="str">
        <x:v>T13</x:v>
      </x:c>
      <x:c r="B20" s="30" t="str">
        <x:v>설치</x:v>
      </x:c>
      <x:c r="C20" s="30" t="str">
        <x:v>배관 연결</x:v>
      </x:c>
      <x:c r="D20" s="34" t="n">
        <x:v>46308</x:v>
      </x:c>
      <x:c r="E20" s="34" t="n">
        <x:v>46309</x:v>
      </x:c>
      <x:c r="F20" s="30" t="n">
        <x:f>NETWORKDAYS(D20,E20,'캘린더'!$A$8:$A$8)</x:f>
        <x:v>2</x:v>
      </x:c>
      <x:c r="G20" s="30" t="str">
        <x:v>설치사 E</x:v>
      </x:c>
      <x:c r="H20" s="30" t="str">
        <x:v>SITE-H1</x:v>
      </x:c>
      <x:c r="I20" s="30" t="str">
        <x:v>예정</x:v>
      </x:c>
      <x:c r="J20" s="38" t="n">
        <x:v>0</x:v>
      </x:c>
      <x:c r="K20" s="30" t="str">
        <x:v>가상 기준 일정</x:v>
      </x:c>
      <x:c r="M20" s="49" t="str">
        <x:f>IF(AND(M$7&lt;=$E20,M$7+4&gt;=$D20),"●","")</x:f>
      </x:c>
      <x:c r="N20" s="49" t="str">
        <x:f>IF(AND(N$7&lt;=$E20,N$7+4&gt;=$D20),"●","")</x:f>
      </x:c>
      <x:c r="O20" s="49" t="str">
        <x:f>IF(AND(O$7&lt;=$E20,O$7+4&gt;=$D20),"●","")</x:f>
      </x:c>
      <x:c r="P20" s="49" t="str">
        <x:f>IF(AND(P$7&lt;=$E20,P$7+4&gt;=$D20),"●","")</x:f>
      </x:c>
      <x:c r="Q20" s="49" t="str">
        <x:f>IF(AND(Q$7&lt;=$E20,Q$7+4&gt;=$D20),"●","")</x:f>
        <x:v>●</x:v>
      </x:c>
      <x:c r="R20" s="49" t="str">
        <x:f>IF(AND(R$7&lt;=$E20,R$7+4&gt;=$D20),"●","")</x:f>
      </x:c>
      <x:c r="S20" s="49" t="str">
        <x:f>IF(AND(S$7&lt;=$E20,S$7+4&gt;=$D20),"●","")</x:f>
      </x:c>
    </x:row>
    <x:row r="21" ht="40" customHeight="1">
      <x:c r="A21" s="28" t="str">
        <x:v>T14</x:v>
      </x:c>
      <x:c r="B21" s="28" t="str">
        <x:v>설치</x:v>
      </x:c>
      <x:c r="C21" s="28" t="str">
        <x:v>전기 연결</x:v>
      </x:c>
      <x:c r="D21" s="32" t="n">
        <x:v>46308</x:v>
      </x:c>
      <x:c r="E21" s="32" t="n">
        <x:v>46309</x:v>
      </x:c>
      <x:c r="F21" s="28" t="n">
        <x:f>NETWORKDAYS(D21,E21,'캘린더'!$A$8:$A$8)</x:f>
        <x:v>2</x:v>
      </x:c>
      <x:c r="G21" s="28" t="str">
        <x:v>시공사 D</x:v>
      </x:c>
      <x:c r="H21" s="28" t="str">
        <x:v>SITE-H1</x:v>
      </x:c>
      <x:c r="I21" s="28" t="str">
        <x:v>예정</x:v>
      </x:c>
      <x:c r="J21" s="39" t="n">
        <x:v>0</x:v>
      </x:c>
      <x:c r="K21" s="28" t="str">
        <x:v>가상 기준 일정</x:v>
      </x:c>
      <x:c r="M21" s="49" t="str">
        <x:f>IF(AND(M$7&lt;=$E21,M$7+4&gt;=$D21),"●","")</x:f>
      </x:c>
      <x:c r="N21" s="49" t="str">
        <x:f>IF(AND(N$7&lt;=$E21,N$7+4&gt;=$D21),"●","")</x:f>
      </x:c>
      <x:c r="O21" s="49" t="str">
        <x:f>IF(AND(O$7&lt;=$E21,O$7+4&gt;=$D21),"●","")</x:f>
      </x:c>
      <x:c r="P21" s="49" t="str">
        <x:f>IF(AND(P$7&lt;=$E21,P$7+4&gt;=$D21),"●","")</x:f>
      </x:c>
      <x:c r="Q21" s="49" t="str">
        <x:f>IF(AND(Q$7&lt;=$E21,Q$7+4&gt;=$D21),"●","")</x:f>
        <x:v>●</x:v>
      </x:c>
      <x:c r="R21" s="49" t="str">
        <x:f>IF(AND(R$7&lt;=$E21,R$7+4&gt;=$D21),"●","")</x:f>
      </x:c>
      <x:c r="S21" s="49" t="str">
        <x:f>IF(AND(S$7&lt;=$E21,S$7+4&gt;=$D21),"●","")</x:f>
      </x:c>
    </x:row>
    <x:row r="22" ht="40" customHeight="1">
      <x:c r="A22" s="30" t="str">
        <x:v>T15</x:v>
      </x:c>
      <x:c r="B22" s="30" t="str">
        <x:v>시운전준비</x:v>
      </x:c>
      <x:c r="C22" s="30" t="str">
        <x:v>제어 설정</x:v>
      </x:c>
      <x:c r="D22" s="34" t="n">
        <x:v>46310</x:v>
      </x:c>
      <x:c r="E22" s="34" t="n">
        <x:v>46311</x:v>
      </x:c>
      <x:c r="F22" s="30" t="n">
        <x:f>NETWORKDAYS(D22,E22,'캘린더'!$A$8:$A$8)</x:f>
        <x:v>2</x:v>
      </x:c>
      <x:c r="G22" s="30" t="str">
        <x:v>설치사 E</x:v>
      </x:c>
      <x:c r="H22" s="30" t="str">
        <x:v>SITE-H1</x:v>
      </x:c>
      <x:c r="I22" s="30" t="str">
        <x:v>예정</x:v>
      </x:c>
      <x:c r="J22" s="38" t="n">
        <x:v>0</x:v>
      </x:c>
      <x:c r="K22" s="30" t="str">
        <x:v>가상 기준 일정</x:v>
      </x:c>
      <x:c r="M22" s="49" t="str">
        <x:f>IF(AND(M$7&lt;=$E22,M$7+4&gt;=$D22),"●","")</x:f>
      </x:c>
      <x:c r="N22" s="49" t="str">
        <x:f>IF(AND(N$7&lt;=$E22,N$7+4&gt;=$D22),"●","")</x:f>
      </x:c>
      <x:c r="O22" s="49" t="str">
        <x:f>IF(AND(O$7&lt;=$E22,O$7+4&gt;=$D22),"●","")</x:f>
      </x:c>
      <x:c r="P22" s="49" t="str">
        <x:f>IF(AND(P$7&lt;=$E22,P$7+4&gt;=$D22),"●","")</x:f>
      </x:c>
      <x:c r="Q22" s="49" t="str">
        <x:f>IF(AND(Q$7&lt;=$E22,Q$7+4&gt;=$D22),"●","")</x:f>
        <x:v>●</x:v>
      </x:c>
      <x:c r="R22" s="49" t="str">
        <x:f>IF(AND(R$7&lt;=$E22,R$7+4&gt;=$D22),"●","")</x:f>
      </x:c>
      <x:c r="S22" s="49" t="str">
        <x:f>IF(AND(S$7&lt;=$E22,S$7+4&gt;=$D22),"●","")</x:f>
      </x:c>
    </x:row>
    <x:row r="23" ht="40" customHeight="1">
      <x:c r="A23" s="28" t="str">
        <x:v>T16</x:v>
      </x:c>
      <x:c r="B23" s="28" t="str">
        <x:v>시운전준비</x:v>
      </x:c>
      <x:c r="C23" s="28" t="str">
        <x:v>작업자 교육</x:v>
      </x:c>
      <x:c r="D23" s="32" t="n">
        <x:v>46314</x:v>
      </x:c>
      <x:c r="E23" s="32" t="n">
        <x:v>46315</x:v>
      </x:c>
      <x:c r="F23" s="28" t="n">
        <x:f>NETWORKDAYS(D23,E23,'캘린더'!$A$8:$A$8)</x:f>
        <x:v>2</x:v>
      </x:c>
      <x:c r="G23" s="28" t="str">
        <x:v>발주사 A</x:v>
      </x:c>
      <x:c r="H23" s="28" t="str">
        <x:v>SITE-H1</x:v>
      </x:c>
      <x:c r="I23" s="28" t="str">
        <x:v>예정</x:v>
      </x:c>
      <x:c r="J23" s="39" t="n">
        <x:v>0</x:v>
      </x:c>
      <x:c r="K23" s="28" t="str">
        <x:v>가상 기준 일정</x:v>
      </x:c>
      <x:c r="M23" s="49" t="str">
        <x:f>IF(AND(M$7&lt;=$E23,M$7+4&gt;=$D23),"●","")</x:f>
      </x:c>
      <x:c r="N23" s="49" t="str">
        <x:f>IF(AND(N$7&lt;=$E23,N$7+4&gt;=$D23),"●","")</x:f>
      </x:c>
      <x:c r="O23" s="49" t="str">
        <x:f>IF(AND(O$7&lt;=$E23,O$7+4&gt;=$D23),"●","")</x:f>
      </x:c>
      <x:c r="P23" s="49" t="str">
        <x:f>IF(AND(P$7&lt;=$E23,P$7+4&gt;=$D23),"●","")</x:f>
      </x:c>
      <x:c r="Q23" s="49" t="str">
        <x:f>IF(AND(Q$7&lt;=$E23,Q$7+4&gt;=$D23),"●","")</x:f>
      </x:c>
      <x:c r="R23" s="49" t="str">
        <x:f>IF(AND(R$7&lt;=$E23,R$7+4&gt;=$D23),"●","")</x:f>
        <x:v>●</x:v>
      </x:c>
      <x:c r="S23" s="49" t="str">
        <x:f>IF(AND(S$7&lt;=$E23,S$7+4&gt;=$D23),"●","")</x:f>
      </x:c>
    </x:row>
    <x:row r="24" ht="40" customHeight="1">
      <x:c r="A24" s="30" t="str">
        <x:v>T17</x:v>
      </x:c>
      <x:c r="B24" s="30" t="str">
        <x:v>시운전준비</x:v>
      </x:c>
      <x:c r="C24" s="30" t="str">
        <x:v>안전·기능 점검</x:v>
      </x:c>
      <x:c r="D24" s="34" t="n">
        <x:v>46314</x:v>
      </x:c>
      <x:c r="E24" s="34" t="n">
        <x:v>46314</x:v>
      </x:c>
      <x:c r="F24" s="30" t="n">
        <x:f>NETWORKDAYS(D24,E24,'캘린더'!$A$8:$A$8)</x:f>
        <x:v>1</x:v>
      </x:c>
      <x:c r="G24" s="30" t="str">
        <x:v>발주사 A</x:v>
      </x:c>
      <x:c r="H24" s="30" t="str">
        <x:v>SITE-H1</x:v>
      </x:c>
      <x:c r="I24" s="30" t="str">
        <x:v>예정</x:v>
      </x:c>
      <x:c r="J24" s="38" t="n">
        <x:v>0</x:v>
      </x:c>
      <x:c r="K24" s="30" t="str">
        <x:v>가상 기준 일정</x:v>
      </x:c>
      <x:c r="M24" s="49" t="str">
        <x:f>IF(AND(M$7&lt;=$E24,M$7+4&gt;=$D24),"●","")</x:f>
      </x:c>
      <x:c r="N24" s="49" t="str">
        <x:f>IF(AND(N$7&lt;=$E24,N$7+4&gt;=$D24),"●","")</x:f>
      </x:c>
      <x:c r="O24" s="49" t="str">
        <x:f>IF(AND(O$7&lt;=$E24,O$7+4&gt;=$D24),"●","")</x:f>
      </x:c>
      <x:c r="P24" s="49" t="str">
        <x:f>IF(AND(P$7&lt;=$E24,P$7+4&gt;=$D24),"●","")</x:f>
      </x:c>
      <x:c r="Q24" s="49" t="str">
        <x:f>IF(AND(Q$7&lt;=$E24,Q$7+4&gt;=$D24),"●","")</x:f>
      </x:c>
      <x:c r="R24" s="49" t="str">
        <x:f>IF(AND(R$7&lt;=$E24,R$7+4&gt;=$D24),"●","")</x:f>
        <x:v>●</x:v>
      </x:c>
      <x:c r="S24" s="49" t="str">
        <x:f>IF(AND(S$7&lt;=$E24,S$7+4&gt;=$D24),"●","")</x:f>
      </x:c>
    </x:row>
    <x:row r="25" ht="40" customHeight="1">
      <x:c r="A25" s="28" t="str">
        <x:v>T18</x:v>
      </x:c>
      <x:c r="B25" s="28" t="str">
        <x:v>시운전</x:v>
      </x:c>
      <x:c r="C25" s="28" t="str">
        <x:v>시운전</x:v>
      </x:c>
      <x:c r="D25" s="32" t="n">
        <x:v>46316</x:v>
      </x:c>
      <x:c r="E25" s="32" t="n">
        <x:v>46317</x:v>
      </x:c>
      <x:c r="F25" s="28" t="n">
        <x:f>NETWORKDAYS(D25,E25,'캘린더'!$A$8:$A$8)</x:f>
        <x:v>2</x:v>
      </x:c>
      <x:c r="G25" s="28" t="str">
        <x:v>발주사 A</x:v>
      </x:c>
      <x:c r="H25" s="28" t="str">
        <x:v>SITE-H1</x:v>
      </x:c>
      <x:c r="I25" s="28" t="str">
        <x:v>예정</x:v>
      </x:c>
      <x:c r="J25" s="39" t="n">
        <x:v>0</x:v>
      </x:c>
      <x:c r="K25" s="28" t="str">
        <x:v>가상 기준 일정</x:v>
      </x:c>
      <x:c r="M25" s="49" t="str">
        <x:f>IF(AND(M$7&lt;=$E25,M$7+4&gt;=$D25),"●","")</x:f>
      </x:c>
      <x:c r="N25" s="49" t="str">
        <x:f>IF(AND(N$7&lt;=$E25,N$7+4&gt;=$D25),"●","")</x:f>
      </x:c>
      <x:c r="O25" s="49" t="str">
        <x:f>IF(AND(O$7&lt;=$E25,O$7+4&gt;=$D25),"●","")</x:f>
      </x:c>
      <x:c r="P25" s="49" t="str">
        <x:f>IF(AND(P$7&lt;=$E25,P$7+4&gt;=$D25),"●","")</x:f>
      </x:c>
      <x:c r="Q25" s="49" t="str">
        <x:f>IF(AND(Q$7&lt;=$E25,Q$7+4&gt;=$D25),"●","")</x:f>
      </x:c>
      <x:c r="R25" s="49" t="str">
        <x:f>IF(AND(R$7&lt;=$E25,R$7+4&gt;=$D25),"●","")</x:f>
        <x:v>●</x:v>
      </x:c>
      <x:c r="S25" s="49" t="str">
        <x:f>IF(AND(S$7&lt;=$E25,S$7+4&gt;=$D25),"●","")</x:f>
      </x:c>
    </x:row>
    <x:row r="26" ht="40" customHeight="1">
      <x:c r="A26" s="30" t="str">
        <x:v>T19</x:v>
      </x:c>
      <x:c r="B26" s="30" t="str">
        <x:v>인수</x:v>
      </x:c>
      <x:c r="C26" s="30" t="str">
        <x:v>고객 인수검사</x:v>
      </x:c>
      <x:c r="D26" s="34" t="n">
        <x:v>46321</x:v>
      </x:c>
      <x:c r="E26" s="34" t="n">
        <x:v>46321</x:v>
      </x:c>
      <x:c r="F26" s="30" t="n">
        <x:f>NETWORKDAYS(D26,E26,'캘린더'!$A$8:$A$8)</x:f>
        <x:v>1</x:v>
      </x:c>
      <x:c r="G26" s="30" t="str">
        <x:v>고객사 F</x:v>
      </x:c>
      <x:c r="H26" s="30" t="str">
        <x:v>SITE-H1</x:v>
      </x:c>
      <x:c r="I26" s="30" t="str">
        <x:v>예정</x:v>
      </x:c>
      <x:c r="J26" s="38" t="n">
        <x:v>0</x:v>
      </x:c>
      <x:c r="K26" s="30" t="str">
        <x:v>가상 기준 일정</x:v>
      </x:c>
      <x:c r="M26" s="49" t="str">
        <x:f>IF(AND(M$7&lt;=$E26,M$7+4&gt;=$D26),"●","")</x:f>
      </x:c>
      <x:c r="N26" s="49" t="str">
        <x:f>IF(AND(N$7&lt;=$E26,N$7+4&gt;=$D26),"●","")</x:f>
      </x:c>
      <x:c r="O26" s="49" t="str">
        <x:f>IF(AND(O$7&lt;=$E26,O$7+4&gt;=$D26),"●","")</x:f>
      </x:c>
      <x:c r="P26" s="49" t="str">
        <x:f>IF(AND(P$7&lt;=$E26,P$7+4&gt;=$D26),"●","")</x:f>
      </x:c>
      <x:c r="Q26" s="49" t="str">
        <x:f>IF(AND(Q$7&lt;=$E26,Q$7+4&gt;=$D26),"●","")</x:f>
      </x:c>
      <x:c r="R26" s="49" t="str">
        <x:f>IF(AND(R$7&lt;=$E26,R$7+4&gt;=$D26),"●","")</x:f>
      </x:c>
      <x:c r="S26" s="49" t="str">
        <x:f>IF(AND(S$7&lt;=$E26,S$7+4&gt;=$D26),"●","")</x:f>
        <x:v>●</x:v>
      </x:c>
    </x:row>
    <x:row r="27" ht="40" customHeight="1">
      <x:c r="A27" s="28" t="str">
        <x:v>T20</x:v>
      </x:c>
      <x:c r="B27" s="28" t="str">
        <x:v>인수</x:v>
      </x:c>
      <x:c r="C27" s="28" t="str">
        <x:v>인계 문서 및 완료</x:v>
      </x:c>
      <x:c r="D27" s="32" t="n">
        <x:v>46322</x:v>
      </x:c>
      <x:c r="E27" s="32" t="n">
        <x:v>46322</x:v>
      </x:c>
      <x:c r="F27" s="28" t="n">
        <x:f>NETWORKDAYS(D27,E27,'캘린더'!$A$8:$A$8)</x:f>
        <x:v>1</x:v>
      </x:c>
      <x:c r="G27" s="28" t="str">
        <x:v>발주사 A</x:v>
      </x:c>
      <x:c r="H27" s="28" t="str">
        <x:v>OFFICE</x:v>
      </x:c>
      <x:c r="I27" s="28" t="str">
        <x:v>예정</x:v>
      </x:c>
      <x:c r="J27" s="39" t="n">
        <x:v>0</x:v>
      </x:c>
      <x:c r="K27" s="28" t="str">
        <x:v>가상 기준 일정</x:v>
      </x:c>
      <x:c r="M27" s="49" t="str">
        <x:f>IF(AND(M$7&lt;=$E27,M$7+4&gt;=$D27),"●","")</x:f>
      </x:c>
      <x:c r="N27" s="49" t="str">
        <x:f>IF(AND(N$7&lt;=$E27,N$7+4&gt;=$D27),"●","")</x:f>
      </x:c>
      <x:c r="O27" s="49" t="str">
        <x:f>IF(AND(O$7&lt;=$E27,O$7+4&gt;=$D27),"●","")</x:f>
      </x:c>
      <x:c r="P27" s="49" t="str">
        <x:f>IF(AND(P$7&lt;=$E27,P$7+4&gt;=$D27),"●","")</x:f>
      </x:c>
      <x:c r="Q27" s="49" t="str">
        <x:f>IF(AND(Q$7&lt;=$E27,Q$7+4&gt;=$D27),"●","")</x:f>
      </x:c>
      <x:c r="R27" s="49" t="str">
        <x:f>IF(AND(R$7&lt;=$E27,R$7+4&gt;=$D27),"●","")</x:f>
      </x:c>
      <x:c r="S27" s="49" t="str">
        <x:f>IF(AND(S$7&lt;=$E27,S$7+4&gt;=$D27),"●","")</x:f>
        <x:v>●</x:v>
      </x:c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</x:row>
  </x:sheetData>
  <x:mergeCells>
    <x:mergeCell ref="A1:K2"/>
    <x:mergeCell ref="A3:K4"/>
  </x:mergeCells>
  <x:conditionalFormatting sqref="J8:J27">
    <x:cfRule type="dataBar" priority="1">
      <x:dataBar>
        <x:cfvo type="min"/>
        <x:cfvo type="max"/>
        <x:color rgb="FF087F8C"/>
      </x:dataBar>
      <x:extLst>
        <x:ext xmlns:x14="http://schemas.microsoft.com/office/spreadsheetml/2009/9/main" uri="{B025F937-C7B1-47D3-B67F-A62EFF666E3E}">
          <x14:id>{E1B3CA76-8EC5-F235-86D6-72DA6A18015C}</x14:id>
        </x:ext>
      </x:extLst>
    </x:cfRule>
  </x:conditionalFormatting>
  <x:conditionalFormatting sqref="M8:S27">
    <x:cfRule type="expression" dxfId="0" priority="2">
      <x:formula>M8="●"</x:formula>
    </x:cfRule>
  </x:conditionalFormatting>
  <x:dataValidations count="1">
    <x:dataValidation type="list" sqref="I8:I27">
      <x:formula1>"예정,진행중,완료,보류"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1B3CA76-8EC5-F235-86D6-72DA6A18015C}">
            <x14:dataBar gradient="0">
              <x14:cfvo type="min"/>
              <x14:cfvo type="max"/>
              <x14:fillColor rgb="FF087F8C"/>
            </x14:dataBar>
          </x14:cfRule>
          <xm:sqref>J8:J27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0" hidden="0" customWidth="1"/>
    <x:col min="4" max="4" width="30" hidden="0" customWidth="1"/>
    <x:col min="5" max="5" width="16" hidden="0" customWidth="1"/>
    <x:col min="6" max="6" width="17" hidden="0" customWidth="1"/>
    <x:col min="7" max="7" width="13" hidden="0" customWidth="1"/>
    <x:col min="8" max="8" width="15" hidden="0" customWidth="1"/>
    <x:col min="9" max="9" width="13" hidden="0" customWidth="1"/>
    <x:col min="10" max="10" width="18" hidden="0" customWidth="1"/>
    <x:col min="11" max="11" width="32" hidden="0" customWidth="1"/>
  </x:cols>
  <x:sheetData>
    <x:row r="1" ht="24" customHeight="1">
      <x:c r="A1" s="6" t="str">
        <x:v>TASK CONSTRAINTS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2" ht="24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3" ht="20" customHeight="1">
      <x:c r="A3" s="13" t="str">
        <x:v>이 표는 온보딩에서 확보할 추가 정보 예시 · 일정표의 행 순서를 선후행 관계로 간주하지 않음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</x:row>
    <x:row r="4" ht="20" customHeight="1">
      <x:c r="A4" s="13"/>
      <x:c r="B4" s="13"/>
      <x:c r="C4" s="13"/>
      <x:c r="D4" s="13"/>
      <x:c r="E4" s="13"/>
      <x:c r="F4" s="13"/>
      <x:c r="G4" s="13"/>
      <x:c r="H4" s="13"/>
      <x:c r="I4" s="13"/>
      <x:c r="J4" s="13"/>
      <x:c r="K4" s="13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</x:row>
    <x:row r="7" ht="32" customHeight="1">
      <x:c r="A7" s="21" t="str">
        <x:v>작업 ID</x:v>
      </x:c>
      <x:c r="B7" s="21" t="str">
        <x:v>필수 선행 ID</x:v>
      </x:c>
      <x:c r="C7" s="21" t="str">
        <x:v>관계</x:v>
      </x:c>
      <x:c r="D7" s="21" t="str">
        <x:v>근거 구분</x:v>
      </x:c>
      <x:c r="E7" s="21" t="str">
        <x:v>기간(작업일)</x:v>
      </x:c>
      <x:c r="F7" s="21" t="str">
        <x:v>자원 그룹</x:v>
      </x:c>
      <x:c r="G7" s="21" t="str">
        <x:v>수요(팀)</x:v>
      </x:c>
      <x:c r="H7" s="21" t="str">
        <x:v>수용량(팀)</x:v>
      </x:c>
      <x:c r="I7" s="21" t="str">
        <x:v>야외 작업</x:v>
      </x:c>
      <x:c r="J7" s="21" t="str">
        <x:v>이동 가능성</x:v>
      </x:c>
      <x:c r="K7" s="21" t="str">
        <x:v>메모</x:v>
      </x:c>
    </x:row>
    <x:row r="8" ht="40" customHeight="1">
      <x:c r="A8" s="30" t="str">
        <x:v>T01</x:v>
      </x:c>
      <x:c r="B8" s="30" t="str"/>
      <x:c r="C8" s="30" t="str">
        <x:v>FS</x:v>
      </x:c>
      <x:c r="D8" s="30" t="str">
        <x:v>데모에서 명시한 필수 조건</x:v>
      </x:c>
      <x:c r="E8" s="30" t="n">
        <x:v>3</x:v>
      </x:c>
      <x:c r="F8" s="30" t="str">
        <x:v>설계팀</x:v>
      </x:c>
      <x:c r="G8" s="30" t="n">
        <x:v>1</x:v>
      </x:c>
      <x:c r="H8" s="30" t="n">
        <x:v>1</x:v>
      </x:c>
      <x:c r="I8" s="30" t="str">
        <x:v>아니오</x:v>
      </x:c>
      <x:c r="J8" s="30" t="str">
        <x:v>조건부</x:v>
      </x:c>
      <x:c r="K8" s="30" t="str">
        <x:v>추가 조건은 담당자가 확인</x:v>
      </x:c>
    </x:row>
    <x:row r="9" ht="40" customHeight="1">
      <x:c r="A9" s="28" t="str">
        <x:v>T02</x:v>
      </x:c>
      <x:c r="B9" s="28" t="str">
        <x:v>T01</x:v>
      </x:c>
      <x:c r="C9" s="28" t="str">
        <x:v>FS</x:v>
      </x:c>
      <x:c r="D9" s="28" t="str">
        <x:v>데모에서 명시한 필수 조건</x:v>
      </x:c>
      <x:c r="E9" s="28" t="n">
        <x:v>2</x:v>
      </x:c>
      <x:c r="F9" s="28" t="str">
        <x:v>설계팀</x:v>
      </x:c>
      <x:c r="G9" s="28" t="n">
        <x:v>1</x:v>
      </x:c>
      <x:c r="H9" s="28" t="n">
        <x:v>1</x:v>
      </x:c>
      <x:c r="I9" s="28" t="str">
        <x:v>아니오</x:v>
      </x:c>
      <x:c r="J9" s="28" t="str">
        <x:v>조건부</x:v>
      </x:c>
      <x:c r="K9" s="28" t="str">
        <x:v>추가 조건은 담당자가 확인</x:v>
      </x:c>
    </x:row>
    <x:row r="10" ht="40" customHeight="1">
      <x:c r="A10" s="30" t="str">
        <x:v>T03</x:v>
      </x:c>
      <x:c r="B10" s="30" t="str">
        <x:v>T02</x:v>
      </x:c>
      <x:c r="C10" s="30" t="str">
        <x:v>FS</x:v>
      </x:c>
      <x:c r="D10" s="30" t="str">
        <x:v>데모에서 명시한 필수 조건</x:v>
      </x:c>
      <x:c r="E10" s="30" t="n">
        <x:v>5</x:v>
      </x:c>
      <x:c r="F10" s="30" t="str">
        <x:v>제작팀</x:v>
      </x:c>
      <x:c r="G10" s="30" t="n">
        <x:v>1</x:v>
      </x:c>
      <x:c r="H10" s="30" t="n">
        <x:v>1</x:v>
      </x:c>
      <x:c r="I10" s="30" t="str">
        <x:v>아니오</x:v>
      </x:c>
      <x:c r="J10" s="30" t="str">
        <x:v>조건부</x:v>
      </x:c>
      <x:c r="K10" s="30" t="str">
        <x:v>추가 조건은 담당자가 확인</x:v>
      </x:c>
    </x:row>
    <x:row r="11" ht="40" customHeight="1">
      <x:c r="A11" s="28" t="str">
        <x:v>T04</x:v>
      </x:c>
      <x:c r="B11" s="28" t="str">
        <x:v>T03</x:v>
      </x:c>
      <x:c r="C11" s="28" t="str">
        <x:v>FS</x:v>
      </x:c>
      <x:c r="D11" s="28" t="str">
        <x:v>데모에서 명시한 필수 조건</x:v>
      </x:c>
      <x:c r="E11" s="28" t="n">
        <x:v>2</x:v>
      </x:c>
      <x:c r="F11" s="28" t="str">
        <x:v>시험팀</x:v>
      </x:c>
      <x:c r="G11" s="28" t="n">
        <x:v>1</x:v>
      </x:c>
      <x:c r="H11" s="28" t="n">
        <x:v>1</x:v>
      </x:c>
      <x:c r="I11" s="28" t="str">
        <x:v>아니오</x:v>
      </x:c>
      <x:c r="J11" s="28" t="str">
        <x:v>조건부</x:v>
      </x:c>
      <x:c r="K11" s="28" t="str">
        <x:v>추가 조건은 담당자가 확인</x:v>
      </x:c>
    </x:row>
    <x:row r="12" ht="40" customHeight="1">
      <x:c r="A12" s="30" t="str">
        <x:v>T05</x:v>
      </x:c>
      <x:c r="B12" s="30" t="str">
        <x:v>T04</x:v>
      </x:c>
      <x:c r="C12" s="30" t="str">
        <x:v>FS</x:v>
      </x:c>
      <x:c r="D12" s="30" t="str">
        <x:v>데모에서 명시한 필수 조건</x:v>
      </x:c>
      <x:c r="E12" s="30" t="n">
        <x:v>1</x:v>
      </x:c>
      <x:c r="F12" s="30" t="str">
        <x:v>출하팀</x:v>
      </x:c>
      <x:c r="G12" s="30" t="n">
        <x:v>1</x:v>
      </x:c>
      <x:c r="H12" s="30" t="n">
        <x:v>1</x:v>
      </x:c>
      <x:c r="I12" s="30" t="str">
        <x:v>아니오</x:v>
      </x:c>
      <x:c r="J12" s="30" t="str">
        <x:v>조건부</x:v>
      </x:c>
      <x:c r="K12" s="30" t="str">
        <x:v>추가 조건은 담당자가 확인</x:v>
      </x:c>
    </x:row>
    <x:row r="13" ht="40" customHeight="1">
      <x:c r="A13" s="28" t="str">
        <x:v>T06</x:v>
      </x:c>
      <x:c r="B13" s="28" t="str">
        <x:v>T05</x:v>
      </x:c>
      <x:c r="C13" s="28" t="str">
        <x:v>FS</x:v>
      </x:c>
      <x:c r="D13" s="28" t="str">
        <x:v>데모에서 명시한 필수 조건</x:v>
      </x:c>
      <x:c r="E13" s="28" t="n">
        <x:v>4</x:v>
      </x:c>
      <x:c r="F13" s="28" t="str">
        <x:v>운송팀</x:v>
      </x:c>
      <x:c r="G13" s="28" t="n">
        <x:v>1</x:v>
      </x:c>
      <x:c r="H13" s="28" t="n">
        <x:v>1</x:v>
      </x:c>
      <x:c r="I13" s="28" t="str">
        <x:v>아니오</x:v>
      </x:c>
      <x:c r="J13" s="28" t="str">
        <x:v>조건부</x:v>
      </x:c>
      <x:c r="K13" s="28" t="str">
        <x:v>추가 조건은 담당자가 확인</x:v>
      </x:c>
    </x:row>
    <x:row r="14" ht="40" customHeight="1">
      <x:c r="A14" s="30" t="str">
        <x:v>T07</x:v>
      </x:c>
      <x:c r="B14" s="30" t="str">
        <x:v>T01</x:v>
      </x:c>
      <x:c r="C14" s="30" t="str">
        <x:v>FS</x:v>
      </x:c>
      <x:c r="D14" s="30" t="str">
        <x:v>데모에서 명시한 필수 조건</x:v>
      </x:c>
      <x:c r="E14" s="30" t="n">
        <x:v>5</x:v>
      </x:c>
      <x:c r="F14" s="30" t="str">
        <x:v>토목팀</x:v>
      </x:c>
      <x:c r="G14" s="30" t="n">
        <x:v>1</x:v>
      </x:c>
      <x:c r="H14" s="30" t="n">
        <x:v>1</x:v>
      </x:c>
      <x:c r="I14" s="30" t="str">
        <x:v>예</x:v>
      </x:c>
      <x:c r="J14" s="30" t="str">
        <x:v>재배치 가능</x:v>
      </x:c>
      <x:c r="K14" s="30" t="str">
        <x:v>추가 조건은 담당자가 확인</x:v>
      </x:c>
    </x:row>
    <x:row r="15" ht="40" customHeight="1">
      <x:c r="A15" s="28" t="str">
        <x:v>T08</x:v>
      </x:c>
      <x:c r="B15" s="28" t="str">
        <x:v>T07</x:v>
      </x:c>
      <x:c r="C15" s="28" t="str">
        <x:v>FS</x:v>
      </x:c>
      <x:c r="D15" s="28" t="str">
        <x:v>데모에서 명시한 필수 조건</x:v>
      </x:c>
      <x:c r="E15" s="28" t="n">
        <x:v>5</x:v>
      </x:c>
      <x:c r="F15" s="28" t="str">
        <x:v>전기팀</x:v>
      </x:c>
      <x:c r="G15" s="28" t="n">
        <x:v>1</x:v>
      </x:c>
      <x:c r="H15" s="28" t="n">
        <x:v>1</x:v>
      </x:c>
      <x:c r="I15" s="28" t="str">
        <x:v>예</x:v>
      </x:c>
      <x:c r="J15" s="28" t="str">
        <x:v>재배치 가능</x:v>
      </x:c>
      <x:c r="K15" s="28" t="str">
        <x:v>추가 조건은 담당자가 확인</x:v>
      </x:c>
    </x:row>
    <x:row r="16" ht="40" customHeight="1">
      <x:c r="A16" s="30" t="str">
        <x:v>T09</x:v>
      </x:c>
      <x:c r="B16" s="30" t="str">
        <x:v>T07</x:v>
      </x:c>
      <x:c r="C16" s="30" t="str">
        <x:v>FS</x:v>
      </x:c>
      <x:c r="D16" s="30" t="str">
        <x:v>데모에서 명시한 필수 조건</x:v>
      </x:c>
      <x:c r="E16" s="30" t="n">
        <x:v>2</x:v>
      </x:c>
      <x:c r="F16" s="30" t="str">
        <x:v>토목팀</x:v>
      </x:c>
      <x:c r="G16" s="30" t="n">
        <x:v>1</x:v>
      </x:c>
      <x:c r="H16" s="30" t="n">
        <x:v>1</x:v>
      </x:c>
      <x:c r="I16" s="30" t="str">
        <x:v>예</x:v>
      </x:c>
      <x:c r="J16" s="30" t="str">
        <x:v>재배치 가능</x:v>
      </x:c>
      <x:c r="K16" s="30" t="str">
        <x:v>추가 조건은 담당자가 확인</x:v>
      </x:c>
    </x:row>
    <x:row r="17" ht="40" customHeight="1">
      <x:c r="A17" s="28" t="str">
        <x:v>T10</x:v>
      </x:c>
      <x:c r="B17" s="28" t="str">
        <x:v>T09</x:v>
      </x:c>
      <x:c r="C17" s="28" t="str">
        <x:v>FS</x:v>
      </x:c>
      <x:c r="D17" s="28" t="str">
        <x:v>데모에서 명시한 필수 조건</x:v>
      </x:c>
      <x:c r="E17" s="28" t="n">
        <x:v>1</x:v>
      </x:c>
      <x:c r="F17" s="28" t="str">
        <x:v>인양팀</x:v>
      </x:c>
      <x:c r="G17" s="28" t="n">
        <x:v>1</x:v>
      </x:c>
      <x:c r="H17" s="28" t="n">
        <x:v>1</x:v>
      </x:c>
      <x:c r="I17" s="28" t="str">
        <x:v>예</x:v>
      </x:c>
      <x:c r="J17" s="28" t="str">
        <x:v>재배치 가능</x:v>
      </x:c>
      <x:c r="K17" s="28" t="str">
        <x:v>추가 조건은 담당자가 확인</x:v>
      </x:c>
    </x:row>
    <x:row r="18" ht="40" customHeight="1">
      <x:c r="A18" s="30" t="str">
        <x:v>T11</x:v>
      </x:c>
      <x:c r="B18" s="30" t="str">
        <x:v>T06,T09,T10</x:v>
      </x:c>
      <x:c r="C18" s="30" t="str">
        <x:v>FS</x:v>
      </x:c>
      <x:c r="D18" s="30" t="str">
        <x:v>데모에서 명시한 필수 조건</x:v>
      </x:c>
      <x:c r="E18" s="30" t="n">
        <x:v>1</x:v>
      </x:c>
      <x:c r="F18" s="30" t="str">
        <x:v>인양팀</x:v>
      </x:c>
      <x:c r="G18" s="30" t="n">
        <x:v>1</x:v>
      </x:c>
      <x:c r="H18" s="30" t="n">
        <x:v>1</x:v>
      </x:c>
      <x:c r="I18" s="30" t="str">
        <x:v>예</x:v>
      </x:c>
      <x:c r="J18" s="30" t="str">
        <x:v>조건부</x:v>
      </x:c>
      <x:c r="K18" s="30" t="str">
        <x:v>추가 조건은 담당자가 확인</x:v>
      </x:c>
    </x:row>
    <x:row r="19" ht="40" customHeight="1">
      <x:c r="A19" s="28" t="str">
        <x:v>T12</x:v>
      </x:c>
      <x:c r="B19" s="28" t="str">
        <x:v>T11</x:v>
      </x:c>
      <x:c r="C19" s="28" t="str">
        <x:v>FS</x:v>
      </x:c>
      <x:c r="D19" s="28" t="str">
        <x:v>데모에서 명시한 필수 조건</x:v>
      </x:c>
      <x:c r="E19" s="28" t="n">
        <x:v>3</x:v>
      </x:c>
      <x:c r="F19" s="28" t="str">
        <x:v>기계팀</x:v>
      </x:c>
      <x:c r="G19" s="28" t="n">
        <x:v>1</x:v>
      </x:c>
      <x:c r="H19" s="28" t="n">
        <x:v>1</x:v>
      </x:c>
      <x:c r="I19" s="28" t="str">
        <x:v>아니오</x:v>
      </x:c>
      <x:c r="J19" s="28" t="str">
        <x:v>조건부</x:v>
      </x:c>
      <x:c r="K19" s="28" t="str">
        <x:v>추가 조건은 담당자가 확인</x:v>
      </x:c>
    </x:row>
    <x:row r="20" ht="40" customHeight="1">
      <x:c r="A20" s="30" t="str">
        <x:v>T13</x:v>
      </x:c>
      <x:c r="B20" s="30" t="str">
        <x:v>T12</x:v>
      </x:c>
      <x:c r="C20" s="30" t="str">
        <x:v>FS</x:v>
      </x:c>
      <x:c r="D20" s="30" t="str">
        <x:v>데모에서 명시한 필수 조건</x:v>
      </x:c>
      <x:c r="E20" s="30" t="n">
        <x:v>2</x:v>
      </x:c>
      <x:c r="F20" s="30" t="str">
        <x:v>배관팀</x:v>
      </x:c>
      <x:c r="G20" s="30" t="n">
        <x:v>1</x:v>
      </x:c>
      <x:c r="H20" s="30" t="n">
        <x:v>1</x:v>
      </x:c>
      <x:c r="I20" s="30" t="str">
        <x:v>아니오</x:v>
      </x:c>
      <x:c r="J20" s="30" t="str">
        <x:v>조건부</x:v>
      </x:c>
      <x:c r="K20" s="30" t="str">
        <x:v>추가 조건은 담당자가 확인</x:v>
      </x:c>
    </x:row>
    <x:row r="21" ht="40" customHeight="1">
      <x:c r="A21" s="28" t="str">
        <x:v>T14</x:v>
      </x:c>
      <x:c r="B21" s="28" t="str">
        <x:v>T12,T08</x:v>
      </x:c>
      <x:c r="C21" s="28" t="str">
        <x:v>FS</x:v>
      </x:c>
      <x:c r="D21" s="28" t="str">
        <x:v>데모에서 명시한 필수 조건</x:v>
      </x:c>
      <x:c r="E21" s="28" t="n">
        <x:v>2</x:v>
      </x:c>
      <x:c r="F21" s="28" t="str">
        <x:v>전기팀</x:v>
      </x:c>
      <x:c r="G21" s="28" t="n">
        <x:v>1</x:v>
      </x:c>
      <x:c r="H21" s="28" t="n">
        <x:v>1</x:v>
      </x:c>
      <x:c r="I21" s="28" t="str">
        <x:v>아니오</x:v>
      </x:c>
      <x:c r="J21" s="28" t="str">
        <x:v>조건부</x:v>
      </x:c>
      <x:c r="K21" s="28" t="str">
        <x:v>추가 조건은 담당자가 확인</x:v>
      </x:c>
    </x:row>
    <x:row r="22" ht="40" customHeight="1">
      <x:c r="A22" s="30" t="str">
        <x:v>T15</x:v>
      </x:c>
      <x:c r="B22" s="30" t="str">
        <x:v>T14</x:v>
      </x:c>
      <x:c r="C22" s="30" t="str">
        <x:v>FS</x:v>
      </x:c>
      <x:c r="D22" s="30" t="str">
        <x:v>데모에서 명시한 필수 조건</x:v>
      </x:c>
      <x:c r="E22" s="30" t="n">
        <x:v>2</x:v>
      </x:c>
      <x:c r="F22" s="30" t="str">
        <x:v>제어팀</x:v>
      </x:c>
      <x:c r="G22" s="30" t="n">
        <x:v>1</x:v>
      </x:c>
      <x:c r="H22" s="30" t="n">
        <x:v>1</x:v>
      </x:c>
      <x:c r="I22" s="30" t="str">
        <x:v>아니오</x:v>
      </x:c>
      <x:c r="J22" s="30" t="str">
        <x:v>조건부</x:v>
      </x:c>
      <x:c r="K22" s="30" t="str">
        <x:v>추가 조건은 담당자가 확인</x:v>
      </x:c>
    </x:row>
    <x:row r="23" ht="40" customHeight="1">
      <x:c r="A23" s="28" t="str">
        <x:v>T16</x:v>
      </x:c>
      <x:c r="B23" s="28" t="str">
        <x:v>T15</x:v>
      </x:c>
      <x:c r="C23" s="28" t="str">
        <x:v>FS</x:v>
      </x:c>
      <x:c r="D23" s="28" t="str">
        <x:v>데모에서 명시한 필수 조건</x:v>
      </x:c>
      <x:c r="E23" s="28" t="n">
        <x:v>2</x:v>
      </x:c>
      <x:c r="F23" s="28" t="str">
        <x:v>교육팀</x:v>
      </x:c>
      <x:c r="G23" s="28" t="n">
        <x:v>1</x:v>
      </x:c>
      <x:c r="H23" s="28" t="n">
        <x:v>1</x:v>
      </x:c>
      <x:c r="I23" s="28" t="str">
        <x:v>아니오</x:v>
      </x:c>
      <x:c r="J23" s="28" t="str">
        <x:v>조건부</x:v>
      </x:c>
      <x:c r="K23" s="28" t="str">
        <x:v>추가 조건은 담당자가 확인</x:v>
      </x:c>
    </x:row>
    <x:row r="24" ht="40" customHeight="1">
      <x:c r="A24" s="30" t="str">
        <x:v>T17</x:v>
      </x:c>
      <x:c r="B24" s="30" t="str">
        <x:v>T13,T15</x:v>
      </x:c>
      <x:c r="C24" s="30" t="str">
        <x:v>FS</x:v>
      </x:c>
      <x:c r="D24" s="30" t="str">
        <x:v>데모에서 명시한 필수 조건</x:v>
      </x:c>
      <x:c r="E24" s="30" t="n">
        <x:v>1</x:v>
      </x:c>
      <x:c r="F24" s="30" t="str">
        <x:v>품질팀</x:v>
      </x:c>
      <x:c r="G24" s="30" t="n">
        <x:v>1</x:v>
      </x:c>
      <x:c r="H24" s="30" t="n">
        <x:v>1</x:v>
      </x:c>
      <x:c r="I24" s="30" t="str">
        <x:v>아니오</x:v>
      </x:c>
      <x:c r="J24" s="30" t="str">
        <x:v>조건부</x:v>
      </x:c>
      <x:c r="K24" s="30" t="str">
        <x:v>추가 조건은 담당자가 확인</x:v>
      </x:c>
    </x:row>
    <x:row r="25" ht="40" customHeight="1">
      <x:c r="A25" s="28" t="str">
        <x:v>T18</x:v>
      </x:c>
      <x:c r="B25" s="28" t="str">
        <x:v>T16,T17</x:v>
      </x:c>
      <x:c r="C25" s="28" t="str">
        <x:v>FS</x:v>
      </x:c>
      <x:c r="D25" s="28" t="str">
        <x:v>데모에서 명시한 필수 조건</x:v>
      </x:c>
      <x:c r="E25" s="28" t="n">
        <x:v>2</x:v>
      </x:c>
      <x:c r="F25" s="28" t="str">
        <x:v>시운전팀</x:v>
      </x:c>
      <x:c r="G25" s="28" t="n">
        <x:v>1</x:v>
      </x:c>
      <x:c r="H25" s="28" t="n">
        <x:v>1</x:v>
      </x:c>
      <x:c r="I25" s="28" t="str">
        <x:v>아니오</x:v>
      </x:c>
      <x:c r="J25" s="28" t="str">
        <x:v>조건부</x:v>
      </x:c>
      <x:c r="K25" s="28" t="str">
        <x:v>추가 조건은 담당자가 확인</x:v>
      </x:c>
    </x:row>
    <x:row r="26" ht="40" customHeight="1">
      <x:c r="A26" s="30" t="str">
        <x:v>T19</x:v>
      </x:c>
      <x:c r="B26" s="30" t="str">
        <x:v>T18</x:v>
      </x:c>
      <x:c r="C26" s="30" t="str">
        <x:v>FS</x:v>
      </x:c>
      <x:c r="D26" s="30" t="str">
        <x:v>데모에서 명시한 필수 조건</x:v>
      </x:c>
      <x:c r="E26" s="30" t="n">
        <x:v>1</x:v>
      </x:c>
      <x:c r="F26" s="30" t="str">
        <x:v>고객검사팀</x:v>
      </x:c>
      <x:c r="G26" s="30" t="n">
        <x:v>1</x:v>
      </x:c>
      <x:c r="H26" s="30" t="n">
        <x:v>1</x:v>
      </x:c>
      <x:c r="I26" s="30" t="str">
        <x:v>아니오</x:v>
      </x:c>
      <x:c r="J26" s="30" t="str">
        <x:v>조건부</x:v>
      </x:c>
      <x:c r="K26" s="30" t="str">
        <x:v>추가 조건은 담당자가 확인</x:v>
      </x:c>
    </x:row>
    <x:row r="27" ht="40" customHeight="1">
      <x:c r="A27" s="28" t="str">
        <x:v>T20</x:v>
      </x:c>
      <x:c r="B27" s="28" t="str">
        <x:v>T19</x:v>
      </x:c>
      <x:c r="C27" s="28" t="str">
        <x:v>FS</x:v>
      </x:c>
      <x:c r="D27" s="28" t="str">
        <x:v>데모에서 명시한 필수 조건</x:v>
      </x:c>
      <x:c r="E27" s="28" t="n">
        <x:v>1</x:v>
      </x:c>
      <x:c r="F27" s="28" t="str">
        <x:v>문서팀</x:v>
      </x:c>
      <x:c r="G27" s="28" t="n">
        <x:v>1</x:v>
      </x:c>
      <x:c r="H27" s="28" t="n">
        <x:v>1</x:v>
      </x:c>
      <x:c r="I27" s="28" t="str">
        <x:v>아니오</x:v>
      </x:c>
      <x:c r="J27" s="28" t="str">
        <x:v>조건부</x:v>
      </x:c>
      <x:c r="K27" s="28" t="str">
        <x:v>추가 조건은 담당자가 확인</x:v>
      </x:c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</x:row>
  </x:sheetData>
  <x:mergeCells>
    <x:mergeCell ref="A1:K2"/>
    <x:mergeCell ref="A3:K4"/>
  </x:mergeCells>
  <x:dataValidations count="1">
    <x:dataValidation type="list" sqref="I8:I27">
      <x:formula1>"예,아니오"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4" hidden="0" customWidth="1"/>
    <x:col min="4" max="4" width="74" hidden="0" customWidth="1"/>
  </x:cols>
  <x:sheetData>
    <x:row r="1" ht="24" customHeight="1">
      <x:c r="A1" s="6" t="str">
        <x:v>WORK CALENDAR</x:v>
      </x:c>
      <x:c r="B1" s="6"/>
      <x:c r="C1" s="6"/>
      <x:c r="D1" s="6"/>
    </x:row>
    <x:row r="2" ht="24" customHeight="1">
      <x:c r="A2" s="6"/>
      <x:c r="B2" s="6"/>
      <x:c r="C2" s="6"/>
      <x:c r="D2" s="6"/>
    </x:row>
    <x:row r="3" ht="20" customHeight="1">
      <x:c r="A3" s="13" t="str">
        <x:v>기본 월~금 작업, 토·일 휴무 · 아래 날짜는 시연용 가상 현장 휴무일</x:v>
      </x:c>
      <x:c r="B3" s="13"/>
      <x:c r="C3" s="13"/>
      <x:c r="D3" s="13"/>
    </x:row>
    <x:row r="4" ht="20" customHeight="1">
      <x:c r="A4" s="13"/>
      <x:c r="B4" s="13"/>
      <x:c r="C4" s="13"/>
      <x:c r="D4" s="13"/>
    </x:row>
    <x:row r="5">
      <x:c r="A5" s="2"/>
      <x:c r="B5" s="2"/>
      <x:c r="C5" s="2"/>
      <x:c r="D5" s="2"/>
    </x:row>
    <x:row r="6">
      <x:c r="A6" s="2"/>
      <x:c r="B6" s="2"/>
      <x:c r="C6" s="2"/>
      <x:c r="D6" s="2"/>
    </x:row>
    <x:row r="7" ht="32" customHeight="1">
      <x:c r="A7" s="21" t="str">
        <x:v>날짜</x:v>
      </x:c>
      <x:c r="B7" s="21" t="str">
        <x:v>적용 범위</x:v>
      </x:c>
      <x:c r="C7" s="21" t="str">
        <x:v>구분</x:v>
      </x:c>
      <x:c r="D7" s="21" t="str">
        <x:v>설명</x:v>
      </x:c>
    </x:row>
    <x:row r="8" ht="40" customHeight="1">
      <x:c r="A8" s="34" t="n">
        <x:v>46318</x:v>
      </x:c>
      <x:c r="B8" s="30" t="str">
        <x:v>SITE-H1</x:v>
      </x:c>
      <x:c r="C8" s="30" t="str">
        <x:v>데모 현장 휴무</x:v>
      </x:c>
      <x:c r="D8" s="30" t="str">
        <x:v>가상 현장 운영일 예외. 실제 국가 공휴일 자료로 사용하지 않음.</x:v>
      </x:c>
    </x:row>
    <x:row r="9">
      <x:c r="A9" s="2"/>
      <x:c r="B9" s="2"/>
      <x:c r="C9" s="2"/>
      <x:c r="D9" s="2"/>
    </x:row>
    <x:row r="10">
      <x:c r="A10" s="2"/>
      <x:c r="B10" s="2"/>
      <x:c r="C10" s="2"/>
      <x:c r="D10" s="2"/>
    </x:row>
    <x:row r="11">
      <x:c r="A11" s="2"/>
      <x:c r="B11" s="2"/>
      <x:c r="C11" s="2"/>
      <x:c r="D11" s="2"/>
    </x:row>
    <x:row r="12">
      <x:c r="A12" s="2"/>
      <x:c r="B12" s="2"/>
      <x:c r="C12" s="2"/>
      <x:c r="D12" s="2"/>
    </x:row>
    <x:row r="13">
      <x:c r="A13" s="2"/>
      <x:c r="B13" s="2"/>
      <x:c r="C13" s="2"/>
      <x:c r="D13" s="2"/>
    </x:row>
    <x:row r="14">
      <x:c r="A14" s="2"/>
      <x:c r="B14" s="2"/>
      <x:c r="C14" s="2"/>
      <x:c r="D14" s="2"/>
    </x:row>
    <x:row r="15">
      <x:c r="A15" s="2"/>
      <x:c r="B15" s="2"/>
      <x:c r="C15" s="2"/>
      <x:c r="D15" s="2"/>
    </x:row>
    <x:row r="16">
      <x:c r="A16" s="2"/>
      <x:c r="B16" s="2"/>
      <x:c r="C16" s="2"/>
      <x:c r="D16" s="2"/>
    </x:row>
    <x:row r="17">
      <x:c r="A17" s="2"/>
      <x:c r="B17" s="2"/>
      <x:c r="C17" s="2"/>
      <x:c r="D17" s="2"/>
    </x:row>
    <x:row r="18">
      <x:c r="A18" s="2"/>
      <x:c r="B18" s="2"/>
      <x:c r="C18" s="2"/>
      <x:c r="D18" s="2"/>
    </x:row>
  </x:sheetData>
  <x:mergeCells>
    <x:mergeCell ref="A1:D2"/>
    <x:mergeCell ref="A3:D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2" hidden="0" customWidth="1"/>
    <x:col min="4" max="4" width="40" hidden="0" customWidth="1"/>
    <x:col min="5" max="5" width="29" hidden="0" customWidth="1"/>
    <x:col min="6" max="6" width="12" hidden="0" customWidth="1"/>
    <x:col min="7" max="7" width="19" hidden="0" customWidth="1"/>
    <x:col min="8" max="8" width="24" hidden="0" customWidth="1"/>
    <x:col min="9" max="9" width="40" hidden="0" customWidth="1"/>
  </x:cols>
  <x:sheetData>
    <x:row r="1" ht="24" customHeight="1">
      <x:c r="A1" s="6" t="str">
        <x:v>RESPONSE CATALOG</x:v>
      </x:c>
      <x:c r="B1" s="6"/>
      <x:c r="C1" s="6"/>
      <x:c r="D1" s="6"/>
      <x:c r="E1" s="6"/>
      <x:c r="F1" s="6"/>
      <x:c r="G1" s="6"/>
      <x:c r="H1" s="6"/>
      <x:c r="I1" s="6"/>
    </x:row>
    <x:row r="2" ht="24" customHeight="1">
      <x:c r="A2" s="6"/>
      <x:c r="B2" s="6"/>
      <x:c r="C2" s="6"/>
      <x:c r="D2" s="6"/>
      <x:c r="E2" s="6"/>
      <x:c r="F2" s="6"/>
      <x:c r="G2" s="6"/>
      <x:c r="H2" s="6"/>
      <x:c r="I2" s="6"/>
    </x:row>
    <x:row r="3" ht="20" customHeight="1">
      <x:c r="A3" s="13" t="str">
        <x:v>사전 등록한 대응 후보 · 비용·기간은 모두 가상이며 실제 견적이나 성능이 아님</x:v>
      </x:c>
      <x:c r="B3" s="13"/>
      <x:c r="C3" s="13"/>
      <x:c r="D3" s="13"/>
      <x:c r="E3" s="13"/>
      <x:c r="F3" s="13"/>
      <x:c r="G3" s="13"/>
      <x:c r="H3" s="13"/>
      <x:c r="I3" s="13"/>
    </x:row>
    <x:row r="4" ht="20" customHeight="1">
      <x:c r="A4" s="13"/>
      <x:c r="B4" s="13"/>
      <x:c r="C4" s="13"/>
      <x:c r="D4" s="13"/>
      <x:c r="E4" s="13"/>
      <x:c r="F4" s="13"/>
      <x:c r="G4" s="13"/>
      <x:c r="H4" s="13"/>
      <x:c r="I4" s="13"/>
    </x:row>
    <x:row r="5">
      <x:c r="A5" s="2"/>
      <x:c r="B5" s="2"/>
      <x:c r="C5" s="2"/>
      <x:c r="D5" s="2"/>
      <x:c r="E5" s="2"/>
      <x:c r="F5" s="2"/>
      <x:c r="G5" s="2"/>
      <x:c r="H5" s="2"/>
      <x:c r="I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</x:row>
    <x:row r="7" ht="32" customHeight="1">
      <x:c r="A7" s="21" t="str">
        <x:v>옵션 ID</x:v>
      </x:c>
      <x:c r="B7" s="21" t="str">
        <x:v>대응 방식</x:v>
      </x:c>
      <x:c r="C7" s="21" t="str">
        <x:v>대상 ID</x:v>
      </x:c>
      <x:c r="D7" s="21" t="str">
        <x:v>조건</x:v>
      </x:c>
      <x:c r="E7" s="21" t="str">
        <x:v>변경 연산</x:v>
      </x:c>
      <x:c r="F7" s="21" t="str">
        <x:v>새 값</x:v>
      </x:c>
      <x:c r="G7" s="21" t="str">
        <x:v>추가비용(KRW)</x:v>
      </x:c>
      <x:c r="H7" s="21" t="str">
        <x:v>실행 상태</x:v>
      </x:c>
      <x:c r="I7" s="21" t="str">
        <x:v>주의</x:v>
      </x:c>
    </x:row>
    <x:row r="8" ht="40" customHeight="1">
      <x:c r="A8" s="30" t="str">
        <x:v>OPT-01</x:v>
      </x:c>
      <x:c r="B8" s="30" t="str">
        <x:v>독립 작업 선행</x:v>
      </x:c>
      <x:c r="C8" s="30" t="str">
        <x:v>T07,T08,T09,T10</x:v>
      </x:c>
      <x:c r="D8" s="30" t="str">
        <x:v>필수 선행관계를 유지한 범위에서 배치 변경</x:v>
      </x:c>
      <x:c r="E8" s="30" t="str">
        <x:v>SHIFT_EARLIER</x:v>
      </x:c>
      <x:c r="F8" s="30"/>
      <x:c r="G8" s="54" t="n">
        <x:v>0</x:v>
      </x:c>
      <x:c r="H8" s="30" t="str">
        <x:v>시뮬레이션 후 현장 승인</x:v>
      </x:c>
      <x:c r="I8" s="30" t="str">
        <x:v>이미 가장 이른 경우 개선 0일 가능</x:v>
      </x:c>
    </x:row>
    <x:row r="9" ht="40" customHeight="1">
      <x:c r="A9" s="28" t="str">
        <x:v>OPT-02</x:v>
      </x:c>
      <x:c r="B9" s="28" t="str">
        <x:v>설치팀 추가</x:v>
      </x:c>
      <x:c r="C9" s="28" t="str">
        <x:v>T12</x:v>
      </x:c>
      <x:c r="D9" s="28" t="str">
        <x:v>추가팀 수락 및 현장 승인 필요</x:v>
      </x:c>
      <x:c r="E9" s="28" t="str">
        <x:v>SET_DURATION_WORKDAYS</x:v>
      </x:c>
      <x:c r="F9" s="28" t="n">
        <x:v>2</x:v>
      </x:c>
      <x:c r="G9" s="36" t="n">
        <x:v>2000000</x:v>
      </x:c>
      <x:c r="H9" s="28" t="str">
        <x:v>미확보 / 조건부</x:v>
      </x:c>
      <x:c r="I9" s="28" t="str">
        <x:v>3→2작업일은 데모 가정. 일반 생산성 법칙 아님</x:v>
      </x:c>
    </x:row>
    <x:row r="10" ht="40" customHeight="1">
      <x:c r="A10" s="30" t="str">
        <x:v>OPT-03</x:v>
      </x:c>
      <x:c r="B10" s="30" t="str">
        <x:v>조기 운송</x:v>
      </x:c>
      <x:c r="C10" s="30" t="str">
        <x:v>T06</x:v>
      </x:c>
      <x:c r="D10" s="30" t="str">
        <x:v>물류사 예약 및 운송조건 확인 필요</x:v>
      </x:c>
      <x:c r="E10" s="30" t="str">
        <x:v>SET_DURATION_WORKDAYS</x:v>
      </x:c>
      <x:c r="F10" s="30" t="n">
        <x:v>2</x:v>
      </x:c>
      <x:c r="G10" s="54" t="n">
        <x:v>6000000</x:v>
      </x:c>
      <x:c r="H10" s="30" t="str">
        <x:v>미예약 / 조건부</x:v>
      </x:c>
      <x:c r="I10" s="30" t="str">
        <x:v>4→2작업일은 데모 가정. 실견적 아님</x:v>
      </x:c>
    </x:row>
    <x:row r="11" ht="40" customHeight="1">
      <x:c r="A11" s="28" t="str">
        <x:v>OPT-04</x:v>
      </x:c>
      <x:c r="B11" s="28" t="str">
        <x:v>목표일 재협의</x:v>
      </x:c>
      <x:c r="C11" s="28" t="str">
        <x:v>PROJECT</x:v>
      </x:c>
      <x:c r="D11" s="28" t="str">
        <x:v>고객사 승인 필요</x:v>
      </x:c>
      <x:c r="E11" s="28" t="str">
        <x:v>REQUEST_TARGET_CHANGE</x:v>
      </x:c>
      <x:c r="F11" s="28"/>
      <x:c r="G11" s="36" t="n">
        <x:v>0</x:v>
      </x:c>
      <x:c r="H11" s="28" t="str">
        <x:v>고객 협의 필요</x:v>
      </x:c>
      <x:c r="I11" s="28" t="str">
        <x:v>무리한 목표일 만족 대신 조정 요청</x:v>
      </x:c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</x:row>
  </x:sheetData>
  <x:mergeCells>
    <x:mergeCell ref="A1:I2"/>
    <x:mergeCell ref="A3:I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9" hidden="0" customWidth="1"/>
    <x:col min="3" max="3" width="27" hidden="0" customWidth="1"/>
    <x:col min="4" max="4" width="31" hidden="0" customWidth="1"/>
    <x:col min="5" max="5" width="90" hidden="0" customWidth="1"/>
    <x:col min="6" max="6" width="24" hidden="0" customWidth="1"/>
  </x:cols>
  <x:sheetData>
    <x:row r="1" ht="24" customHeight="1">
      <x:c r="A1" s="6" t="str">
        <x:v>EVENT REPLAY FIXTURES</x:v>
      </x:c>
      <x:c r="B1" s="6"/>
      <x:c r="C1" s="6"/>
      <x:c r="D1" s="6"/>
      <x:c r="E1" s="6"/>
      <x:c r="F1" s="6"/>
    </x:row>
    <x:row r="2" ht="24" customHeight="1">
      <x:c r="A2" s="6"/>
      <x:c r="B2" s="6"/>
      <x:c r="C2" s="6"/>
      <x:c r="D2" s="6"/>
      <x:c r="E2" s="6"/>
      <x:c r="F2" s="6"/>
    </x:row>
    <x:row r="3" ht="20" customHeight="1">
      <x:c r="A3" s="13" t="str">
        <x:v>독립 테스트 입력 · 선택한 이벤트만 해당 시점에 주입 / 라이브 뉴스·예보가 아님</x:v>
      </x:c>
      <x:c r="B3" s="13"/>
      <x:c r="C3" s="13"/>
      <x:c r="D3" s="13"/>
      <x:c r="E3" s="13"/>
      <x:c r="F3" s="13"/>
    </x:row>
    <x:row r="4" ht="20" customHeight="1">
      <x:c r="A4" s="13"/>
      <x:c r="B4" s="13"/>
      <x:c r="C4" s="13"/>
      <x:c r="D4" s="13"/>
      <x:c r="E4" s="13"/>
      <x:c r="F4" s="13"/>
    </x:row>
    <x:row r="5">
      <x:c r="A5" s="2"/>
      <x:c r="B5" s="2"/>
      <x:c r="C5" s="2"/>
      <x:c r="D5" s="2"/>
      <x:c r="E5" s="2"/>
      <x:c r="F5" s="2"/>
    </x:row>
    <x:row r="6">
      <x:c r="A6" s="2"/>
      <x:c r="B6" s="2"/>
      <x:c r="C6" s="2"/>
      <x:c r="D6" s="2"/>
      <x:c r="E6" s="2"/>
      <x:c r="F6" s="2"/>
    </x:row>
    <x:row r="7" ht="32" customHeight="1">
      <x:c r="A7" s="21" t="str">
        <x:v>이벤트 ID</x:v>
      </x:c>
      <x:c r="B7" s="21" t="str">
        <x:v>공개·접수시각</x:v>
      </x:c>
      <x:c r="C7" s="21" t="str">
        <x:v>입력 종류</x:v>
      </x:c>
      <x:c r="D7" s="21" t="str">
        <x:v>출처 표시</x:v>
      </x:c>
      <x:c r="E7" s="21" t="str">
        <x:v>본문</x:v>
      </x:c>
      <x:c r="F7" s="21" t="str">
        <x:v>모드</x:v>
      </x:c>
    </x:row>
    <x:row r="8" ht="84" customHeight="1">
      <x:c r="A8" s="30" t="str">
        <x:v>E01</x:v>
      </x:c>
      <x:c r="B8" s="30" t="n">
        <x:v>46288.291666666664</x:v>
      </x:c>
      <x:c r="C8" s="30" t="str">
        <x:v>supplier_message</x:v>
      </x:c>
      <x:c r="D8" s="30" t="str">
        <x:v>공급사 B / 합성 메일</x:v>
      </x:c>
      <x:c r="E8" s="30" t="str">
        <x:v>[가상 메시지] 설비 제작 완료가 9월 25일에서 9월 30일로 변경됩니다. FAT는 10월 1일부터 가능하며 후속 출하 일정을 재협의해야 합니다.</x:v>
      </x:c>
      <x:c r="F8" s="30" t="str">
        <x:v>REPLAY / SYNTHETIC</x:v>
      </x:c>
    </x:row>
    <x:row r="9" ht="84" customHeight="1">
      <x:c r="A9" s="28" t="str">
        <x:v>E02</x:v>
      </x:c>
      <x:c r="B9" s="28" t="n">
        <x:v>46301.291666666664</x:v>
      </x:c>
      <x:c r="C9" s="28" t="str">
        <x:v>weather_site_notice</x:v>
      </x:c>
      <x:c r="D9" s="28" t="str">
        <x:v>기상·현장 공지 / 합성 입력</x:v>
      </x:c>
      <x:c r="E9" s="28" t="str">
        <x:v>[가상 공지] 10월 7일 SITE-H1의 야외 인양 작업을 수행하지 않는다는 현장 운영 공지가 접수됐습니다. 실내 작업에는 이 공지를 일괄 적용하지 않습니다. 실제 기상 예보나 안전기준이 아닙니다.</x:v>
      </x:c>
      <x:c r="F9" s="28" t="str">
        <x:v>REPLAY / SYNTHETIC</x:v>
      </x:c>
    </x:row>
    <x:row r="10" ht="84" customHeight="1">
      <x:c r="A10" s="30" t="str">
        <x:v>E03</x:v>
      </x:c>
      <x:c r="B10" s="30" t="n">
        <x:v>46289.291666666664</x:v>
      </x:c>
      <x:c r="C10" s="30" t="str">
        <x:v>policy_notice</x:v>
      </x:c>
      <x:c r="D10" s="30" t="str">
        <x:v>DEMO-NOTICE-001 / 가상 정책</x:v>
      </x:c>
      <x:c r="E10" s="30" t="str">
        <x:v>[실제 법령이 아닌 테스트 공지] 10월 1일부터 특정 사양의 산업설비에 추가 서류 제출 절차가 적용됩니다. 이 프로젝트의 설비가 해당하는지와 처리기간은 아직 입력되지 않았습니다.</x:v>
      </x:c>
      <x:c r="F10" s="30" t="str">
        <x:v>REPLAY / SYNTHETIC</x:v>
      </x:c>
    </x:row>
    <x:row r="11" ht="84" customHeight="1">
      <x:c r="A11" s="28" t="str">
        <x:v>E04</x:v>
      </x:c>
      <x:c r="B11" s="28" t="n">
        <x:v>46300.291666666664</x:v>
      </x:c>
      <x:c r="C11" s="28" t="str">
        <x:v>supplier_calendar</x:v>
      </x:c>
      <x:c r="D11" s="28" t="str">
        <x:v>설치사 E / 합성 휴무 공지</x:v>
      </x:c>
      <x:c r="E11" s="28" t="str">
        <x:v>[가상 메시지] SITE-H1에 배정된 기계팀은 10월 8~9일 투입이 불가능합니다. 다른 팀의 운영일은 동일하며 대체 인력 확보 여부는 미정입니다.</x:v>
      </x:c>
      <x:c r="F11" s="28" t="str">
        <x:v>REPLAY / SYNTHETIC</x:v>
      </x:c>
    </x:row>
    <x:row r="12" ht="84" customHeight="1">
      <x:c r="A12" s="30" t="str">
        <x:v>E05</x:v>
      </x:c>
      <x:c r="B12" s="30" t="n">
        <x:v>46288.333333333336</x:v>
      </x:c>
      <x:c r="C12" s="30" t="str">
        <x:v>supplier_message</x:v>
      </x:c>
      <x:c r="D12" s="30" t="str">
        <x:v>공급사 B / 합성 메일</x:v>
      </x:c>
      <x:c r="E12" s="30" t="str">
        <x:v>[가상 메시지] 담당자의 전화번호 표기가 수정됐습니다. 제작·시험·출하 날짜 및 투입 자원은 변경되지 않았습니다.</x:v>
      </x:c>
      <x:c r="F12" s="30" t="str">
        <x:v>REPLAY / SYNTHETIC</x:v>
      </x:c>
    </x:row>
    <x:row r="13">
      <x:c r="A13" s="2"/>
      <x:c r="B13" s="2"/>
      <x:c r="C13" s="2"/>
      <x:c r="D13" s="2"/>
      <x:c r="E13" s="2"/>
      <x:c r="F13" s="2"/>
    </x:row>
    <x:row r="14">
      <x:c r="A14" s="2"/>
      <x:c r="B14" s="2"/>
      <x:c r="C14" s="2"/>
      <x:c r="D14" s="2"/>
      <x:c r="E14" s="2"/>
      <x:c r="F14" s="2"/>
    </x:row>
    <x:row r="15">
      <x:c r="A15" s="2"/>
      <x:c r="B15" s="2"/>
      <x:c r="C15" s="2"/>
      <x:c r="D15" s="2"/>
      <x:c r="E15" s="2"/>
      <x:c r="F15" s="2"/>
    </x:row>
    <x:row r="16">
      <x:c r="A16" s="2"/>
      <x:c r="B16" s="2"/>
      <x:c r="C16" s="2"/>
      <x:c r="D16" s="2"/>
      <x:c r="E16" s="2"/>
      <x:c r="F16" s="2"/>
    </x:row>
    <x:row r="17">
      <x:c r="A17" s="2"/>
      <x:c r="B17" s="2"/>
      <x:c r="C17" s="2"/>
      <x:c r="D17" s="2"/>
      <x:c r="E17" s="2"/>
      <x:c r="F17" s="2"/>
    </x:row>
    <x:row r="18">
      <x:c r="A18" s="2"/>
      <x:c r="B18" s="2"/>
      <x:c r="C18" s="2"/>
      <x:c r="D18" s="2"/>
      <x:c r="E18" s="2"/>
      <x:c r="F18" s="2"/>
    </x:row>
  </x:sheetData>
  <x:mergeCells>
    <x:mergeCell ref="A1:F2"/>
    <x:mergeCell ref="A3:F4"/>
  </x:mergeCells>
  <x:pageMargins left="0.7" right="0.7" top="0.75" bottom="0.75" header="0.3" footer="0.3"/>
</x:worksheet>
</file>